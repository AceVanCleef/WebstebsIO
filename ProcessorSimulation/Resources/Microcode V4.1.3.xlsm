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-12" yWindow="120" windowWidth="11688" windowHeight="9576" tabRatio="723"/>
  </bookViews>
  <sheets>
    <sheet name="Readme" sheetId="78" r:id="rId1"/>
    <sheet name="Architecture" sheetId="79" r:id="rId2"/>
    <sheet name="Decoder Table" sheetId="76" r:id="rId3"/>
    <sheet name="Template" sheetId="84" r:id="rId4"/>
    <sheet name="Template op1" sheetId="86" r:id="rId5"/>
    <sheet name="Template op1,op2" sheetId="87" r:id="rId6"/>
    <sheet name="Fetch" sheetId="88" r:id="rId7"/>
    <sheet name="Interrupt" sheetId="89" r:id="rId8"/>
    <sheet name="ADD reg,const" sheetId="81" r:id="rId9"/>
    <sheet name="ADD reg1,reg2" sheetId="90" r:id="rId10"/>
    <sheet name="AND reg,const" sheetId="91" r:id="rId11"/>
    <sheet name="AND reg1,reg2" sheetId="92" r:id="rId12"/>
    <sheet name="CALL addr" sheetId="93" r:id="rId13"/>
    <sheet name="CLI" sheetId="94" r:id="rId14"/>
    <sheet name="CLINC |reg|" sheetId="149" r:id="rId15"/>
    <sheet name="CMP reg,const" sheetId="95" r:id="rId16"/>
    <sheet name="CMP reg1,reg2" sheetId="96" r:id="rId17"/>
    <sheet name="CMP reg,|addr|" sheetId="97" r:id="rId18"/>
    <sheet name="CPYD |reg|,const" sheetId="153" r:id="rId19"/>
    <sheet name="DEC reg" sheetId="98" r:id="rId20"/>
    <sheet name="DEC |addr|" sheetId="147" r:id="rId21"/>
    <sheet name="DIV reg,const" sheetId="99" r:id="rId22"/>
    <sheet name="DIV reg1,reg2" sheetId="100" r:id="rId23"/>
    <sheet name="HALT" sheetId="85" r:id="rId24"/>
    <sheet name="IN addr" sheetId="101" r:id="rId25"/>
    <sheet name="INC reg" sheetId="102" r:id="rId26"/>
    <sheet name="INC |reg|" sheetId="145" r:id="rId27"/>
    <sheet name="INT addr" sheetId="103" r:id="rId28"/>
    <sheet name="IRET" sheetId="104" r:id="rId29"/>
    <sheet name="JMP offset" sheetId="105" r:id="rId30"/>
    <sheet name="JPA absolute" sheetId="146" r:id="rId31"/>
    <sheet name="JNO offset" sheetId="106" r:id="rId32"/>
    <sheet name="JNS offset" sheetId="107" r:id="rId33"/>
    <sheet name="JNZ offset" sheetId="108" r:id="rId34"/>
    <sheet name="JO offset" sheetId="109" r:id="rId35"/>
    <sheet name="JS offset" sheetId="110" r:id="rId36"/>
    <sheet name="JZ offset" sheetId="111" r:id="rId37"/>
    <sheet name="MOD reg,const" sheetId="112" r:id="rId38"/>
    <sheet name="MOD reg1,reg2" sheetId="113" r:id="rId39"/>
    <sheet name="MOV reg,const" sheetId="114" r:id="rId40"/>
    <sheet name="MOV reg1,reg2" sheetId="115" r:id="rId41"/>
    <sheet name="MOV reg1,|reg2|" sheetId="116" r:id="rId42"/>
    <sheet name="MOV reg,|addr|" sheetId="117" r:id="rId43"/>
    <sheet name="MOV |reg1|,reg2" sheetId="118" r:id="rId44"/>
    <sheet name="MOV |addr|,reg" sheetId="119" r:id="rId45"/>
    <sheet name="MUL reg,const" sheetId="120" r:id="rId46"/>
    <sheet name="MUL reg1,reg2" sheetId="121" r:id="rId47"/>
    <sheet name="NEXT addr" sheetId="151" r:id="rId48"/>
    <sheet name="NOP" sheetId="122" r:id="rId49"/>
    <sheet name="NOT reg" sheetId="123" r:id="rId50"/>
    <sheet name="OR reg,const" sheetId="124" r:id="rId51"/>
    <sheet name="OR reg1,reg2" sheetId="125" r:id="rId52"/>
    <sheet name="OUT addr" sheetId="126" r:id="rId53"/>
    <sheet name="POP reg" sheetId="127" r:id="rId54"/>
    <sheet name="POPF" sheetId="128" r:id="rId55"/>
    <sheet name="PUSH reg" sheetId="129" r:id="rId56"/>
    <sheet name="PUSHF" sheetId="130" r:id="rId57"/>
    <sheet name="RET" sheetId="131" r:id="rId58"/>
    <sheet name="ROL reg" sheetId="132" r:id="rId59"/>
    <sheet name="ROR reg" sheetId="133" r:id="rId60"/>
    <sheet name="SHL reg" sheetId="134" r:id="rId61"/>
    <sheet name="SHR reg" sheetId="135" r:id="rId62"/>
    <sheet name="STI" sheetId="136" r:id="rId63"/>
    <sheet name="SUB reg,const" sheetId="137" r:id="rId64"/>
    <sheet name="SUB reg1,reg2" sheetId="138" r:id="rId65"/>
    <sheet name="SWAP |addr|" sheetId="148" r:id="rId66"/>
    <sheet name="XCHG reg1,reg2" sheetId="154" r:id="rId67"/>
    <sheet name="XOR reg,const" sheetId="139" r:id="rId68"/>
    <sheet name="XOR reg1,reg2" sheetId="140" r:id="rId69"/>
  </sheets>
  <functionGroups builtInGroupCount="17"/>
  <definedNames>
    <definedName name="BAHTTEXT" localSheetId="66">'CPYD |reg|,const'!#REF!</definedName>
    <definedName name="BAHTTEXT">'CPYD |reg|,const'!#REF!</definedName>
    <definedName name="_xlnm.Print_Area" localSheetId="8">'ADD reg,const'!$A$1:$N$30</definedName>
    <definedName name="_xlnm.Print_Area" localSheetId="9">'ADD reg1,reg2'!$A$1:$N$30</definedName>
    <definedName name="_xlnm.Print_Area" localSheetId="10">'AND reg,const'!$A$1:$N$30</definedName>
    <definedName name="_xlnm.Print_Area" localSheetId="11">'AND reg1,reg2'!$A$1:$N$30</definedName>
    <definedName name="_xlnm.Print_Area" localSheetId="1">Architecture!$A$1:$M$38</definedName>
    <definedName name="_xlnm.Print_Area" localSheetId="12">'CALL addr'!$A$1:$N$21</definedName>
    <definedName name="_xlnm.Print_Area" localSheetId="13">CLI!$A$1:$N$12</definedName>
    <definedName name="_xlnm.Print_Area" localSheetId="17">'CMP reg,|addr|'!$A$1:$N$30</definedName>
    <definedName name="_xlnm.Print_Area" localSheetId="15">'CMP reg,const'!$A$1:$N$30</definedName>
    <definedName name="_xlnm.Print_Area" localSheetId="16">'CMP reg1,reg2'!$A$1:$N$30</definedName>
    <definedName name="_xlnm.Print_Area" localSheetId="18">'CPYD |reg|,const'!$A$1:$N$30</definedName>
    <definedName name="_xlnm.Print_Area" localSheetId="19">'DEC reg'!$A$1:$N$21</definedName>
    <definedName name="_xlnm.Print_Area" localSheetId="2">'Decoder Table'!$A$1:$F$58</definedName>
    <definedName name="_xlnm.Print_Area" localSheetId="21">'DIV reg,const'!$A$1:$N$30</definedName>
    <definedName name="_xlnm.Print_Area" localSheetId="22">'DIV reg1,reg2'!$A$1:$N$30</definedName>
    <definedName name="_xlnm.Print_Area" localSheetId="6">Fetch!$A$1:$N$20</definedName>
    <definedName name="_xlnm.Print_Area" localSheetId="23">HALT!$A$1:$N$12</definedName>
    <definedName name="_xlnm.Print_Area" localSheetId="24">'IN addr'!$A$1:$N$21</definedName>
    <definedName name="_xlnm.Print_Area" localSheetId="26">'INC |reg|'!$A$1:$N$30</definedName>
    <definedName name="_xlnm.Print_Area" localSheetId="25">'INC reg'!$A$1:$N$21</definedName>
    <definedName name="_xlnm.Print_Area" localSheetId="27">'INT addr'!$A$1:$N$30</definedName>
    <definedName name="_xlnm.Print_Area" localSheetId="7">Interrupt!$A$1:$N$20</definedName>
    <definedName name="_xlnm.Print_Area" localSheetId="28">IRET!$A$1:$N$12</definedName>
    <definedName name="_xlnm.Print_Area" localSheetId="29">'JMP offset'!$A$1:$N$21</definedName>
    <definedName name="_xlnm.Print_Area" localSheetId="31">'JNO offset'!$A$1:$N$30</definedName>
    <definedName name="_xlnm.Print_Area" localSheetId="32">'JNS offset'!$A$1:$N$30</definedName>
    <definedName name="_xlnm.Print_Area" localSheetId="33">'JNZ offset'!$A$1:$N$30</definedName>
    <definedName name="_xlnm.Print_Area" localSheetId="34">'JO offset'!$A$1:$N$30</definedName>
    <definedName name="_xlnm.Print_Area" localSheetId="35">'JS offset'!$A$1:$N$30</definedName>
    <definedName name="_xlnm.Print_Area" localSheetId="36">'JZ offset'!$A$1:$N$30</definedName>
    <definedName name="_xlnm.Print_Area" localSheetId="37">'MOD reg,const'!$A$1:$N$30</definedName>
    <definedName name="_xlnm.Print_Area" localSheetId="38">'MOD reg1,reg2'!$A$1:$N$30</definedName>
    <definedName name="_xlnm.Print_Area" localSheetId="44">'MOV |addr|,reg'!$A$1:$N$30</definedName>
    <definedName name="_xlnm.Print_Area" localSheetId="43">'MOV |reg1|,reg2'!$A$1:$N$30</definedName>
    <definedName name="_xlnm.Print_Area" localSheetId="42">'MOV reg,|addr|'!$A$1:$N$30</definedName>
    <definedName name="_xlnm.Print_Area" localSheetId="39">'MOV reg,const'!$A$1:$N$21</definedName>
    <definedName name="_xlnm.Print_Area" localSheetId="41">'MOV reg1,|reg2|'!$A$1:$N$30</definedName>
    <definedName name="_xlnm.Print_Area" localSheetId="40">'MOV reg1,reg2'!$A$1:$N$30</definedName>
    <definedName name="_xlnm.Print_Area" localSheetId="45">'MUL reg,const'!$A$1:$N$30</definedName>
    <definedName name="_xlnm.Print_Area" localSheetId="46">'MUL reg1,reg2'!$A$1:$N$30</definedName>
    <definedName name="_xlnm.Print_Area" localSheetId="48">NOP!$A$1:$N$12</definedName>
    <definedName name="_xlnm.Print_Area" localSheetId="49">'NOT reg'!$A$1:$N$21</definedName>
    <definedName name="_xlnm.Print_Area" localSheetId="50">'OR reg,const'!$A$1:$N$30</definedName>
    <definedName name="_xlnm.Print_Area" localSheetId="51">'OR reg1,reg2'!$A$1:$N$30</definedName>
    <definedName name="_xlnm.Print_Area" localSheetId="52">'OUT addr'!$A$1:$N$21</definedName>
    <definedName name="_xlnm.Print_Area" localSheetId="53">'POP reg'!$A$1:$N$21</definedName>
    <definedName name="_xlnm.Print_Area" localSheetId="54">POPF!$A$1:$N$12</definedName>
    <definedName name="_xlnm.Print_Area" localSheetId="55">'PUSH reg'!$A$1:$N$21</definedName>
    <definedName name="_xlnm.Print_Area" localSheetId="56">PUSHF!$A$1:$N$12</definedName>
    <definedName name="_xlnm.Print_Area" localSheetId="0">Readme!$A$1:$G$82</definedName>
    <definedName name="_xlnm.Print_Area" localSheetId="57">RET!$A$1:$N$12</definedName>
    <definedName name="_xlnm.Print_Area" localSheetId="58">'ROL reg'!$A$1:$N$21</definedName>
    <definedName name="_xlnm.Print_Area" localSheetId="59">'ROR reg'!$A$1:$N$21</definedName>
    <definedName name="_xlnm.Print_Area" localSheetId="60">'SHL reg'!$A$1:$N$21</definedName>
    <definedName name="_xlnm.Print_Area" localSheetId="61">'SHR reg'!$A$1:$N$21</definedName>
    <definedName name="_xlnm.Print_Area" localSheetId="62">STI!$A$1:$N$12</definedName>
    <definedName name="_xlnm.Print_Area" localSheetId="63">'SUB reg,const'!$A$1:$N$30</definedName>
    <definedName name="_xlnm.Print_Area" localSheetId="64">'SUB reg1,reg2'!$A$1:$N$30</definedName>
    <definedName name="_xlnm.Print_Area" localSheetId="3">Template!$A$1:$N$12</definedName>
    <definedName name="_xlnm.Print_Area" localSheetId="4">'Template op1'!$A$1:$N$21</definedName>
    <definedName name="_xlnm.Print_Area" localSheetId="5">'Template op1,op2'!$A$1:$N$30</definedName>
    <definedName name="_xlnm.Print_Area" localSheetId="66">'XCHG reg1,reg2'!$A$1:$N$30</definedName>
    <definedName name="_xlnm.Print_Area" localSheetId="67">'XOR reg,const'!$A$1:$N$30</definedName>
    <definedName name="_xlnm.Print_Area" localSheetId="68">'XOR reg1,reg2'!$A$1:$N$30</definedName>
  </definedNames>
  <calcPr calcId="145621"/>
</workbook>
</file>

<file path=xl/calcChain.xml><?xml version="1.0" encoding="utf-8"?>
<calcChain xmlns="http://schemas.openxmlformats.org/spreadsheetml/2006/main">
  <c r="L1" i="154" l="1"/>
  <c r="A30" i="154" s="1"/>
  <c r="G1" i="154"/>
  <c r="A39" i="153"/>
  <c r="A38" i="153"/>
  <c r="A37" i="153"/>
  <c r="A36" i="153"/>
  <c r="A35" i="153"/>
  <c r="A34" i="153"/>
  <c r="A33" i="153"/>
  <c r="A30" i="153"/>
  <c r="A29" i="153"/>
  <c r="A28" i="153"/>
  <c r="A27" i="153"/>
  <c r="A26" i="153"/>
  <c r="A25" i="153"/>
  <c r="A24" i="153"/>
  <c r="A21" i="153"/>
  <c r="A23" i="153"/>
  <c r="A20" i="153"/>
  <c r="A19" i="153"/>
  <c r="A18" i="153"/>
  <c r="A17" i="153"/>
  <c r="A16" i="153"/>
  <c r="A15" i="153"/>
  <c r="A14" i="153"/>
  <c r="A5" i="153"/>
  <c r="A6" i="153"/>
  <c r="A12" i="153"/>
  <c r="A11" i="153"/>
  <c r="A10" i="153"/>
  <c r="A9" i="153"/>
  <c r="A8" i="153"/>
  <c r="A7" i="153"/>
  <c r="A32" i="153"/>
  <c r="G1" i="153"/>
  <c r="L1" i="153"/>
  <c r="A25" i="154" l="1"/>
  <c r="A10" i="154"/>
  <c r="A19" i="154"/>
  <c r="A28" i="154"/>
  <c r="A5" i="154"/>
  <c r="A14" i="154"/>
  <c r="A23" i="154"/>
  <c r="A6" i="154"/>
  <c r="A15" i="154"/>
  <c r="A24" i="154"/>
  <c r="A7" i="154"/>
  <c r="A16" i="154"/>
  <c r="A8" i="154"/>
  <c r="A17" i="154"/>
  <c r="A26" i="154"/>
  <c r="A9" i="154"/>
  <c r="A18" i="154"/>
  <c r="A27" i="154"/>
  <c r="A11" i="154"/>
  <c r="A20" i="154"/>
  <c r="A29" i="154"/>
  <c r="A12" i="154"/>
  <c r="A21" i="154"/>
  <c r="A165" i="151"/>
  <c r="A164" i="151" l="1"/>
  <c r="A163" i="151"/>
  <c r="A162" i="151"/>
  <c r="A161" i="151"/>
  <c r="A160" i="151"/>
  <c r="A159" i="151"/>
  <c r="A158" i="151"/>
  <c r="L1" i="151"/>
  <c r="A153" i="151" s="1"/>
  <c r="G1" i="151"/>
  <c r="A10" i="151" l="1"/>
  <c r="A19" i="151"/>
  <c r="A28" i="151"/>
  <c r="A37" i="151"/>
  <c r="A46" i="151"/>
  <c r="A55" i="151"/>
  <c r="A64" i="151"/>
  <c r="A73" i="151"/>
  <c r="A82" i="151"/>
  <c r="A91" i="151"/>
  <c r="A100" i="151"/>
  <c r="A109" i="151"/>
  <c r="A118" i="151"/>
  <c r="A127" i="151"/>
  <c r="A136" i="151"/>
  <c r="A145" i="151"/>
  <c r="A154" i="151"/>
  <c r="A12" i="151"/>
  <c r="A21" i="151"/>
  <c r="A30" i="151"/>
  <c r="A39" i="151"/>
  <c r="A48" i="151"/>
  <c r="A57" i="151"/>
  <c r="A66" i="151"/>
  <c r="A75" i="151"/>
  <c r="A84" i="151"/>
  <c r="A93" i="151"/>
  <c r="A102" i="151"/>
  <c r="A111" i="151"/>
  <c r="A120" i="151"/>
  <c r="A129" i="151"/>
  <c r="A138" i="151"/>
  <c r="A147" i="151"/>
  <c r="A156" i="151"/>
  <c r="A5" i="151"/>
  <c r="A14" i="151"/>
  <c r="A23" i="151"/>
  <c r="A32" i="151"/>
  <c r="A41" i="151"/>
  <c r="A50" i="151"/>
  <c r="A59" i="151"/>
  <c r="A68" i="151"/>
  <c r="A77" i="151"/>
  <c r="A86" i="151"/>
  <c r="A95" i="151"/>
  <c r="A104" i="151"/>
  <c r="A113" i="151"/>
  <c r="A122" i="151"/>
  <c r="A131" i="151"/>
  <c r="A140" i="151"/>
  <c r="A149" i="151"/>
  <c r="A6" i="151"/>
  <c r="A15" i="151"/>
  <c r="A24" i="151"/>
  <c r="A33" i="151"/>
  <c r="A42" i="151"/>
  <c r="A51" i="151"/>
  <c r="A60" i="151"/>
  <c r="A69" i="151"/>
  <c r="A78" i="151"/>
  <c r="A87" i="151"/>
  <c r="A96" i="151"/>
  <c r="A105" i="151"/>
  <c r="A114" i="151"/>
  <c r="A123" i="151"/>
  <c r="A132" i="151"/>
  <c r="A141" i="151"/>
  <c r="A150" i="151"/>
  <c r="A11" i="151"/>
  <c r="A20" i="151"/>
  <c r="A29" i="151"/>
  <c r="A38" i="151"/>
  <c r="A47" i="151"/>
  <c r="A56" i="151"/>
  <c r="A65" i="151"/>
  <c r="A74" i="151"/>
  <c r="A83" i="151"/>
  <c r="A92" i="151"/>
  <c r="A101" i="151"/>
  <c r="A110" i="151"/>
  <c r="A119" i="151"/>
  <c r="A128" i="151"/>
  <c r="A137" i="151"/>
  <c r="A146" i="151"/>
  <c r="A155" i="151"/>
  <c r="A7" i="151"/>
  <c r="A16" i="151"/>
  <c r="A25" i="151"/>
  <c r="A34" i="151"/>
  <c r="A43" i="151"/>
  <c r="A52" i="151"/>
  <c r="A61" i="151"/>
  <c r="A70" i="151"/>
  <c r="A79" i="151"/>
  <c r="A88" i="151"/>
  <c r="A97" i="151"/>
  <c r="A106" i="151"/>
  <c r="A115" i="151"/>
  <c r="A124" i="151"/>
  <c r="A133" i="151"/>
  <c r="A142" i="151"/>
  <c r="A151" i="151"/>
  <c r="A8" i="151"/>
  <c r="A17" i="151"/>
  <c r="A26" i="151"/>
  <c r="A35" i="151"/>
  <c r="A44" i="151"/>
  <c r="A53" i="151"/>
  <c r="A62" i="151"/>
  <c r="A71" i="151"/>
  <c r="A80" i="151"/>
  <c r="A89" i="151"/>
  <c r="A98" i="151"/>
  <c r="A107" i="151"/>
  <c r="A116" i="151"/>
  <c r="A125" i="151"/>
  <c r="A134" i="151"/>
  <c r="A143" i="151"/>
  <c r="A152" i="151"/>
  <c r="A9" i="151"/>
  <c r="A18" i="151"/>
  <c r="A27" i="151"/>
  <c r="A36" i="151"/>
  <c r="A45" i="151"/>
  <c r="A54" i="151"/>
  <c r="A63" i="151"/>
  <c r="A72" i="151"/>
  <c r="A81" i="151"/>
  <c r="A90" i="151"/>
  <c r="A99" i="151"/>
  <c r="A108" i="151"/>
  <c r="A117" i="151"/>
  <c r="A126" i="151"/>
  <c r="A135" i="151"/>
  <c r="A144" i="151"/>
  <c r="L1" i="149" l="1"/>
  <c r="A29" i="149" s="1"/>
  <c r="G1" i="149"/>
  <c r="A12" i="149" l="1"/>
  <c r="A21" i="149"/>
  <c r="A30" i="149"/>
  <c r="A5" i="149"/>
  <c r="A14" i="149"/>
  <c r="A23" i="149"/>
  <c r="A6" i="149"/>
  <c r="A15" i="149"/>
  <c r="A24" i="149"/>
  <c r="A7" i="149"/>
  <c r="A16" i="149"/>
  <c r="A25" i="149"/>
  <c r="A8" i="149"/>
  <c r="A17" i="149"/>
  <c r="A26" i="149"/>
  <c r="A9" i="149"/>
  <c r="A18" i="149"/>
  <c r="A27" i="149"/>
  <c r="A10" i="149"/>
  <c r="A19" i="149"/>
  <c r="A28" i="149"/>
  <c r="A11" i="149"/>
  <c r="A20" i="149"/>
  <c r="L1" i="148"/>
  <c r="A27" i="148" s="1"/>
  <c r="G1" i="148"/>
  <c r="A9" i="148" l="1"/>
  <c r="A25" i="148"/>
  <c r="A16" i="148"/>
  <c r="A28" i="148"/>
  <c r="A17" i="148"/>
  <c r="A29" i="148"/>
  <c r="A24" i="148"/>
  <c r="A18" i="148"/>
  <c r="A7" i="148"/>
  <c r="A19" i="148"/>
  <c r="A8" i="148"/>
  <c r="A20" i="148"/>
  <c r="A10" i="148"/>
  <c r="A26" i="148"/>
  <c r="A11" i="148"/>
  <c r="A12" i="148"/>
  <c r="A21" i="148"/>
  <c r="A30" i="148"/>
  <c r="A5" i="148"/>
  <c r="A14" i="148"/>
  <c r="A23" i="148"/>
  <c r="A6" i="148"/>
  <c r="A15" i="148"/>
  <c r="L1" i="145"/>
  <c r="G1" i="145"/>
  <c r="L1" i="147" l="1"/>
  <c r="A30" i="147" s="1"/>
  <c r="G1" i="147"/>
  <c r="A12" i="147" l="1"/>
  <c r="A21" i="147"/>
  <c r="A5" i="147"/>
  <c r="A14" i="147"/>
  <c r="A23" i="147"/>
  <c r="A6" i="147"/>
  <c r="A15" i="147"/>
  <c r="A24" i="147"/>
  <c r="A7" i="147"/>
  <c r="A16" i="147"/>
  <c r="A25" i="147"/>
  <c r="A8" i="147"/>
  <c r="A17" i="147"/>
  <c r="A26" i="147"/>
  <c r="A9" i="147"/>
  <c r="A18" i="147"/>
  <c r="A27" i="147"/>
  <c r="A10" i="147"/>
  <c r="A19" i="147"/>
  <c r="A28" i="147"/>
  <c r="A11" i="147"/>
  <c r="A20" i="147"/>
  <c r="A29" i="147"/>
  <c r="L1" i="146"/>
  <c r="A11" i="146" s="1"/>
  <c r="G1" i="146"/>
  <c r="A7" i="146" l="1"/>
  <c r="A8" i="146"/>
  <c r="A9" i="146"/>
  <c r="A10" i="146"/>
  <c r="A12" i="146"/>
  <c r="A5" i="146"/>
  <c r="A6" i="146"/>
  <c r="A10" i="145"/>
  <c r="A17" i="145" l="1"/>
  <c r="A18" i="145"/>
  <c r="A19" i="145"/>
  <c r="A11" i="145"/>
  <c r="A28" i="145"/>
  <c r="A20" i="145"/>
  <c r="A8" i="145"/>
  <c r="A26" i="145"/>
  <c r="A9" i="145"/>
  <c r="A27" i="145"/>
  <c r="A29" i="145"/>
  <c r="A12" i="145"/>
  <c r="A21" i="145"/>
  <c r="A30" i="145"/>
  <c r="A5" i="145"/>
  <c r="A14" i="145"/>
  <c r="A23" i="145"/>
  <c r="A6" i="145"/>
  <c r="A15" i="145"/>
  <c r="A24" i="145"/>
  <c r="A7" i="145"/>
  <c r="A16" i="145"/>
  <c r="A25" i="145"/>
  <c r="F47" i="76" l="1"/>
  <c r="F48" i="76"/>
  <c r="F49" i="76"/>
  <c r="F50" i="76"/>
  <c r="F51" i="76"/>
  <c r="F52" i="76"/>
  <c r="F53" i="76"/>
  <c r="F54" i="76"/>
  <c r="F55" i="76"/>
  <c r="F56" i="76"/>
  <c r="F57" i="76"/>
  <c r="F58" i="76"/>
  <c r="F27" i="76"/>
  <c r="F28" i="76"/>
  <c r="F29" i="76"/>
  <c r="F30" i="76"/>
  <c r="F31" i="76"/>
  <c r="F32" i="76"/>
  <c r="F33" i="76"/>
  <c r="F34" i="76"/>
  <c r="F35" i="76"/>
  <c r="F36" i="76"/>
  <c r="F37" i="76"/>
  <c r="F38" i="76"/>
  <c r="F39" i="76"/>
  <c r="F40" i="76"/>
  <c r="F41" i="76"/>
  <c r="F42" i="76"/>
  <c r="F43" i="76"/>
  <c r="F44" i="76"/>
  <c r="F45" i="76"/>
  <c r="F46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7" i="76"/>
  <c r="F6" i="76"/>
  <c r="L1" i="88" l="1"/>
  <c r="A5" i="88" s="1"/>
  <c r="A6" i="88" l="1"/>
  <c r="A10" i="88"/>
  <c r="A11" i="88"/>
  <c r="A20" i="88"/>
  <c r="A19" i="88"/>
  <c r="A16" i="88"/>
  <c r="A18" i="88"/>
  <c r="A17" i="88"/>
  <c r="A13" i="88"/>
  <c r="A15" i="88"/>
  <c r="A14" i="88"/>
  <c r="A4" i="88"/>
  <c r="A7" i="88"/>
  <c r="A8" i="88"/>
  <c r="A9" i="88"/>
  <c r="G1" i="139"/>
  <c r="G1" i="129"/>
  <c r="L1" i="140"/>
  <c r="A11" i="140" s="1"/>
  <c r="G1" i="140"/>
  <c r="L1" i="139"/>
  <c r="A16" i="139" s="1"/>
  <c r="L1" i="138"/>
  <c r="A20" i="138" s="1"/>
  <c r="G1" i="138"/>
  <c r="L1" i="137"/>
  <c r="A30" i="137" s="1"/>
  <c r="G1" i="137"/>
  <c r="L1" i="136"/>
  <c r="A11" i="136" s="1"/>
  <c r="G1" i="136"/>
  <c r="L1" i="135"/>
  <c r="G1" i="135"/>
  <c r="L1" i="134"/>
  <c r="G1" i="134"/>
  <c r="L1" i="133"/>
  <c r="A11" i="133" s="1"/>
  <c r="G1" i="133"/>
  <c r="G1" i="132"/>
  <c r="L1" i="132"/>
  <c r="G1" i="131"/>
  <c r="L1" i="131"/>
  <c r="A12" i="131" s="1"/>
  <c r="L1" i="130"/>
  <c r="A11" i="130" s="1"/>
  <c r="G1" i="130"/>
  <c r="L1" i="129"/>
  <c r="A7" i="129" s="1"/>
  <c r="L1" i="128"/>
  <c r="A7" i="128" s="1"/>
  <c r="G1" i="128"/>
  <c r="L1" i="127"/>
  <c r="G1" i="127"/>
  <c r="L1" i="126"/>
  <c r="A11" i="126" s="1"/>
  <c r="G1" i="126"/>
  <c r="L1" i="125"/>
  <c r="A15" i="125" s="1"/>
  <c r="G1" i="125"/>
  <c r="L1" i="124"/>
  <c r="A30" i="124" s="1"/>
  <c r="G1" i="124"/>
  <c r="L1" i="123"/>
  <c r="G1" i="123"/>
  <c r="L1" i="122"/>
  <c r="A11" i="122" s="1"/>
  <c r="G1" i="122"/>
  <c r="A7" i="122"/>
  <c r="L1" i="121"/>
  <c r="A16" i="121" s="1"/>
  <c r="G1" i="121"/>
  <c r="L1" i="120"/>
  <c r="A20" i="120" s="1"/>
  <c r="G1" i="120"/>
  <c r="L1" i="119"/>
  <c r="A29" i="119" s="1"/>
  <c r="G1" i="119"/>
  <c r="L1" i="118"/>
  <c r="A12" i="118" s="1"/>
  <c r="G1" i="118"/>
  <c r="L1" i="117"/>
  <c r="A29" i="117" s="1"/>
  <c r="G1" i="117"/>
  <c r="L1" i="116"/>
  <c r="A15" i="116" s="1"/>
  <c r="G1" i="116"/>
  <c r="L1" i="115"/>
  <c r="A24" i="115" s="1"/>
  <c r="G1" i="115"/>
  <c r="A7" i="115"/>
  <c r="L1" i="114"/>
  <c r="G1" i="114"/>
  <c r="L1" i="113"/>
  <c r="A29" i="113" s="1"/>
  <c r="G1" i="113"/>
  <c r="L1" i="112"/>
  <c r="A29" i="112" s="1"/>
  <c r="G1" i="112"/>
  <c r="L1" i="111"/>
  <c r="A29" i="111" s="1"/>
  <c r="G1" i="111"/>
  <c r="L1" i="110"/>
  <c r="A16" i="110" s="1"/>
  <c r="G1" i="110"/>
  <c r="L1" i="109"/>
  <c r="A29" i="109" s="1"/>
  <c r="G1" i="109"/>
  <c r="L1" i="108"/>
  <c r="A16" i="108" s="1"/>
  <c r="G1" i="108"/>
  <c r="L1" i="107"/>
  <c r="A29" i="107" s="1"/>
  <c r="G1" i="107"/>
  <c r="L1" i="106"/>
  <c r="A30" i="106" s="1"/>
  <c r="G1" i="106"/>
  <c r="L1" i="105"/>
  <c r="A11" i="105" s="1"/>
  <c r="G1" i="105"/>
  <c r="L1" i="104"/>
  <c r="A11" i="104" s="1"/>
  <c r="G1" i="104"/>
  <c r="L1" i="103"/>
  <c r="A30" i="103" s="1"/>
  <c r="G1" i="103"/>
  <c r="L1" i="102"/>
  <c r="G1" i="102"/>
  <c r="L1" i="101"/>
  <c r="G1" i="101"/>
  <c r="L1" i="100"/>
  <c r="A16" i="100" s="1"/>
  <c r="G1" i="100"/>
  <c r="A20" i="100"/>
  <c r="L1" i="99"/>
  <c r="A12" i="99" s="1"/>
  <c r="G1" i="99"/>
  <c r="L1" i="98"/>
  <c r="A11" i="98" s="1"/>
  <c r="G1" i="98"/>
  <c r="L1" i="97"/>
  <c r="A29" i="97" s="1"/>
  <c r="G1" i="97"/>
  <c r="L1" i="96"/>
  <c r="A29" i="96" s="1"/>
  <c r="G1" i="96"/>
  <c r="L1" i="95"/>
  <c r="A29" i="95" s="1"/>
  <c r="G1" i="95"/>
  <c r="L1" i="94"/>
  <c r="A11" i="94" s="1"/>
  <c r="G1" i="94"/>
  <c r="L1" i="93"/>
  <c r="G1" i="93"/>
  <c r="L1" i="92"/>
  <c r="A30" i="92" s="1"/>
  <c r="G1" i="92"/>
  <c r="A28" i="100" l="1"/>
  <c r="A10" i="122"/>
  <c r="A7" i="105"/>
  <c r="A16" i="138"/>
  <c r="A11" i="96"/>
  <c r="A18" i="96"/>
  <c r="A24" i="96"/>
  <c r="A7" i="126"/>
  <c r="A10" i="125"/>
  <c r="A6" i="96"/>
  <c r="A19" i="125"/>
  <c r="A29" i="125"/>
  <c r="A7" i="96"/>
  <c r="A24" i="125"/>
  <c r="A28" i="97"/>
  <c r="A21" i="98"/>
  <c r="A20" i="98"/>
  <c r="A18" i="98"/>
  <c r="A17" i="98"/>
  <c r="A19" i="98"/>
  <c r="A16" i="98"/>
  <c r="A15" i="98"/>
  <c r="A14" i="98"/>
  <c r="A25" i="115"/>
  <c r="A21" i="132"/>
  <c r="A20" i="132"/>
  <c r="A18" i="132"/>
  <c r="A17" i="132"/>
  <c r="A19" i="132"/>
  <c r="A16" i="132"/>
  <c r="A15" i="132"/>
  <c r="A14" i="132"/>
  <c r="A21" i="135"/>
  <c r="A20" i="135"/>
  <c r="A18" i="135"/>
  <c r="A17" i="135"/>
  <c r="A19" i="135"/>
  <c r="A16" i="135"/>
  <c r="A15" i="135"/>
  <c r="A14" i="135"/>
  <c r="A21" i="93"/>
  <c r="A20" i="93"/>
  <c r="A18" i="93"/>
  <c r="A17" i="93"/>
  <c r="A19" i="93"/>
  <c r="A16" i="93"/>
  <c r="A15" i="93"/>
  <c r="A14" i="93"/>
  <c r="A14" i="96"/>
  <c r="A16" i="97"/>
  <c r="A11" i="101"/>
  <c r="A21" i="101"/>
  <c r="A20" i="101"/>
  <c r="A18" i="101"/>
  <c r="A17" i="101"/>
  <c r="A19" i="101"/>
  <c r="A16" i="101"/>
  <c r="A15" i="101"/>
  <c r="A14" i="101"/>
  <c r="A6" i="125"/>
  <c r="A11" i="129"/>
  <c r="A21" i="129"/>
  <c r="A20" i="129"/>
  <c r="A18" i="129"/>
  <c r="A17" i="129"/>
  <c r="A19" i="129"/>
  <c r="A16" i="129"/>
  <c r="A15" i="129"/>
  <c r="A14" i="129"/>
  <c r="A20" i="97"/>
  <c r="A19" i="96"/>
  <c r="A21" i="102"/>
  <c r="A20" i="102"/>
  <c r="A18" i="102"/>
  <c r="A17" i="102"/>
  <c r="A19" i="102"/>
  <c r="A16" i="102"/>
  <c r="A15" i="102"/>
  <c r="A14" i="102"/>
  <c r="A21" i="105"/>
  <c r="A20" i="105"/>
  <c r="A18" i="105"/>
  <c r="A17" i="105"/>
  <c r="A19" i="105"/>
  <c r="A16" i="105"/>
  <c r="A15" i="105"/>
  <c r="A14" i="105"/>
  <c r="A21" i="126"/>
  <c r="A20" i="126"/>
  <c r="A18" i="126"/>
  <c r="A17" i="126"/>
  <c r="A19" i="126"/>
  <c r="A16" i="126"/>
  <c r="A15" i="126"/>
  <c r="A14" i="126"/>
  <c r="A7" i="133"/>
  <c r="A21" i="133"/>
  <c r="A20" i="133"/>
  <c r="A18" i="133"/>
  <c r="A17" i="133"/>
  <c r="A19" i="133"/>
  <c r="A16" i="133"/>
  <c r="A15" i="133"/>
  <c r="A14" i="133"/>
  <c r="A25" i="96"/>
  <c r="A7" i="98"/>
  <c r="A21" i="114"/>
  <c r="A20" i="114"/>
  <c r="A18" i="114"/>
  <c r="A17" i="114"/>
  <c r="A19" i="114"/>
  <c r="A16" i="114"/>
  <c r="A15" i="114"/>
  <c r="A14" i="114"/>
  <c r="A7" i="123"/>
  <c r="A21" i="123"/>
  <c r="A20" i="123"/>
  <c r="A18" i="123"/>
  <c r="A17" i="123"/>
  <c r="A19" i="123"/>
  <c r="A16" i="123"/>
  <c r="A15" i="123"/>
  <c r="A14" i="123"/>
  <c r="A7" i="127"/>
  <c r="A21" i="127"/>
  <c r="A20" i="127"/>
  <c r="A18" i="127"/>
  <c r="A17" i="127"/>
  <c r="A19" i="127"/>
  <c r="A16" i="127"/>
  <c r="A15" i="127"/>
  <c r="A14" i="127"/>
  <c r="A5" i="131"/>
  <c r="A9" i="131"/>
  <c r="A7" i="134"/>
  <c r="A21" i="134"/>
  <c r="A20" i="134"/>
  <c r="A18" i="134"/>
  <c r="A17" i="134"/>
  <c r="A19" i="134"/>
  <c r="A16" i="134"/>
  <c r="A15" i="134"/>
  <c r="A14" i="134"/>
  <c r="A16" i="115"/>
  <c r="A16" i="140"/>
  <c r="A29" i="140"/>
  <c r="A20" i="140"/>
  <c r="A7" i="140"/>
  <c r="A25" i="140"/>
  <c r="A8" i="140"/>
  <c r="A12" i="140"/>
  <c r="A17" i="140"/>
  <c r="A21" i="140"/>
  <c r="A26" i="140"/>
  <c r="A30" i="140"/>
  <c r="A5" i="140"/>
  <c r="A9" i="140"/>
  <c r="A14" i="140"/>
  <c r="A18" i="140"/>
  <c r="A23" i="140"/>
  <c r="A27" i="140"/>
  <c r="A6" i="140"/>
  <c r="A10" i="140"/>
  <c r="A15" i="140"/>
  <c r="A19" i="140"/>
  <c r="A24" i="140"/>
  <c r="A28" i="140"/>
  <c r="A28" i="139"/>
  <c r="A20" i="139"/>
  <c r="A7" i="139"/>
  <c r="A25" i="139"/>
  <c r="A11" i="139"/>
  <c r="A29" i="139"/>
  <c r="A8" i="139"/>
  <c r="A12" i="139"/>
  <c r="A17" i="139"/>
  <c r="A21" i="139"/>
  <c r="A26" i="139"/>
  <c r="A30" i="139"/>
  <c r="A5" i="139"/>
  <c r="A9" i="139"/>
  <c r="A14" i="139"/>
  <c r="A18" i="139"/>
  <c r="A23" i="139"/>
  <c r="A27" i="139"/>
  <c r="A6" i="139"/>
  <c r="A10" i="139"/>
  <c r="A15" i="139"/>
  <c r="A19" i="139"/>
  <c r="A24" i="139"/>
  <c r="A7" i="138"/>
  <c r="A25" i="138"/>
  <c r="A11" i="138"/>
  <c r="A29" i="138"/>
  <c r="A28" i="138"/>
  <c r="A8" i="138"/>
  <c r="A12" i="138"/>
  <c r="A17" i="138"/>
  <c r="A21" i="138"/>
  <c r="A26" i="138"/>
  <c r="A30" i="138"/>
  <c r="A5" i="138"/>
  <c r="A9" i="138"/>
  <c r="A14" i="138"/>
  <c r="A18" i="138"/>
  <c r="A23" i="138"/>
  <c r="A27" i="138"/>
  <c r="A6" i="138"/>
  <c r="A10" i="138"/>
  <c r="A15" i="138"/>
  <c r="A19" i="138"/>
  <c r="A24" i="138"/>
  <c r="A5" i="137"/>
  <c r="A9" i="137"/>
  <c r="A14" i="137"/>
  <c r="A18" i="137"/>
  <c r="A23" i="137"/>
  <c r="A27" i="137"/>
  <c r="A6" i="137"/>
  <c r="A10" i="137"/>
  <c r="A15" i="137"/>
  <c r="A19" i="137"/>
  <c r="A24" i="137"/>
  <c r="A28" i="137"/>
  <c r="A7" i="137"/>
  <c r="A11" i="137"/>
  <c r="A16" i="137"/>
  <c r="A20" i="137"/>
  <c r="A25" i="137"/>
  <c r="A29" i="137"/>
  <c r="A8" i="137"/>
  <c r="A12" i="137"/>
  <c r="A17" i="137"/>
  <c r="A21" i="137"/>
  <c r="A26" i="137"/>
  <c r="A8" i="136"/>
  <c r="A12" i="136"/>
  <c r="A5" i="136"/>
  <c r="A9" i="136"/>
  <c r="A6" i="136"/>
  <c r="A10" i="136"/>
  <c r="A7" i="136"/>
  <c r="A8" i="135"/>
  <c r="A12" i="135"/>
  <c r="A5" i="135"/>
  <c r="A9" i="135"/>
  <c r="A6" i="135"/>
  <c r="A10" i="135"/>
  <c r="A7" i="135"/>
  <c r="A11" i="135"/>
  <c r="A11" i="134"/>
  <c r="A8" i="134"/>
  <c r="A12" i="134"/>
  <c r="A5" i="134"/>
  <c r="A9" i="134"/>
  <c r="A6" i="134"/>
  <c r="A10" i="134"/>
  <c r="A8" i="133"/>
  <c r="A12" i="133"/>
  <c r="A5" i="133"/>
  <c r="A9" i="133"/>
  <c r="A6" i="133"/>
  <c r="A10" i="133"/>
  <c r="A8" i="132"/>
  <c r="A12" i="132"/>
  <c r="A5" i="132"/>
  <c r="A9" i="132"/>
  <c r="A6" i="132"/>
  <c r="A10" i="132"/>
  <c r="A7" i="132"/>
  <c r="A11" i="132"/>
  <c r="A6" i="131"/>
  <c r="A10" i="131"/>
  <c r="A7" i="131"/>
  <c r="A11" i="131"/>
  <c r="A8" i="131"/>
  <c r="A8" i="130"/>
  <c r="A12" i="130"/>
  <c r="A5" i="130"/>
  <c r="A9" i="130"/>
  <c r="A6" i="130"/>
  <c r="A10" i="130"/>
  <c r="A7" i="130"/>
  <c r="A8" i="129"/>
  <c r="A12" i="129"/>
  <c r="A5" i="129"/>
  <c r="A9" i="129"/>
  <c r="A6" i="129"/>
  <c r="A10" i="129"/>
  <c r="A12" i="128"/>
  <c r="A9" i="128"/>
  <c r="A5" i="128"/>
  <c r="A10" i="128"/>
  <c r="A6" i="128"/>
  <c r="A11" i="128"/>
  <c r="A8" i="128"/>
  <c r="A11" i="127"/>
  <c r="A8" i="127"/>
  <c r="A12" i="127"/>
  <c r="A5" i="127"/>
  <c r="A9" i="127"/>
  <c r="A6" i="127"/>
  <c r="A10" i="127"/>
  <c r="A8" i="126"/>
  <c r="A12" i="126"/>
  <c r="A5" i="126"/>
  <c r="A9" i="126"/>
  <c r="A6" i="126"/>
  <c r="A10" i="126"/>
  <c r="A8" i="125"/>
  <c r="A12" i="125"/>
  <c r="A17" i="125"/>
  <c r="A21" i="125"/>
  <c r="A26" i="125"/>
  <c r="A30" i="125"/>
  <c r="A5" i="125"/>
  <c r="A9" i="125"/>
  <c r="A14" i="125"/>
  <c r="A18" i="125"/>
  <c r="A23" i="125"/>
  <c r="A27" i="125"/>
  <c r="A28" i="125"/>
  <c r="A7" i="125"/>
  <c r="A11" i="125"/>
  <c r="A16" i="125"/>
  <c r="A20" i="125"/>
  <c r="A25" i="125"/>
  <c r="A5" i="124"/>
  <c r="A9" i="124"/>
  <c r="A14" i="124"/>
  <c r="A18" i="124"/>
  <c r="A23" i="124"/>
  <c r="A27" i="124"/>
  <c r="A6" i="124"/>
  <c r="A10" i="124"/>
  <c r="A15" i="124"/>
  <c r="A19" i="124"/>
  <c r="A24" i="124"/>
  <c r="A28" i="124"/>
  <c r="A7" i="124"/>
  <c r="A11" i="124"/>
  <c r="A16" i="124"/>
  <c r="A20" i="124"/>
  <c r="A25" i="124"/>
  <c r="A29" i="124"/>
  <c r="A8" i="124"/>
  <c r="A12" i="124"/>
  <c r="A17" i="124"/>
  <c r="A21" i="124"/>
  <c r="A26" i="124"/>
  <c r="A11" i="123"/>
  <c r="A8" i="123"/>
  <c r="A12" i="123"/>
  <c r="A5" i="123"/>
  <c r="A9" i="123"/>
  <c r="A6" i="123"/>
  <c r="A10" i="123"/>
  <c r="A8" i="122"/>
  <c r="A12" i="122"/>
  <c r="A5" i="122"/>
  <c r="A9" i="122"/>
  <c r="A6" i="122"/>
  <c r="A28" i="121"/>
  <c r="A20" i="121"/>
  <c r="A7" i="121"/>
  <c r="A25" i="121"/>
  <c r="A11" i="121"/>
  <c r="A29" i="121"/>
  <c r="A8" i="121"/>
  <c r="A12" i="121"/>
  <c r="A17" i="121"/>
  <c r="A21" i="121"/>
  <c r="A26" i="121"/>
  <c r="A30" i="121"/>
  <c r="A5" i="121"/>
  <c r="A9" i="121"/>
  <c r="A14" i="121"/>
  <c r="A18" i="121"/>
  <c r="A23" i="121"/>
  <c r="A27" i="121"/>
  <c r="A6" i="121"/>
  <c r="A10" i="121"/>
  <c r="A15" i="121"/>
  <c r="A19" i="121"/>
  <c r="A24" i="121"/>
  <c r="A7" i="120"/>
  <c r="A25" i="120"/>
  <c r="A11" i="120"/>
  <c r="A29" i="120"/>
  <c r="A16" i="120"/>
  <c r="A28" i="120"/>
  <c r="A8" i="120"/>
  <c r="A12" i="120"/>
  <c r="A17" i="120"/>
  <c r="A21" i="120"/>
  <c r="A26" i="120"/>
  <c r="A30" i="120"/>
  <c r="A5" i="120"/>
  <c r="A9" i="120"/>
  <c r="A14" i="120"/>
  <c r="A18" i="120"/>
  <c r="A23" i="120"/>
  <c r="A27" i="120"/>
  <c r="A6" i="120"/>
  <c r="A10" i="120"/>
  <c r="A15" i="120"/>
  <c r="A19" i="120"/>
  <c r="A24" i="120"/>
  <c r="A8" i="119"/>
  <c r="A12" i="119"/>
  <c r="A17" i="119"/>
  <c r="A21" i="119"/>
  <c r="A26" i="119"/>
  <c r="A30" i="119"/>
  <c r="A5" i="119"/>
  <c r="A9" i="119"/>
  <c r="A14" i="119"/>
  <c r="A18" i="119"/>
  <c r="A23" i="119"/>
  <c r="A27" i="119"/>
  <c r="A6" i="119"/>
  <c r="A10" i="119"/>
  <c r="A15" i="119"/>
  <c r="A19" i="119"/>
  <c r="A24" i="119"/>
  <c r="A28" i="119"/>
  <c r="A7" i="119"/>
  <c r="A11" i="119"/>
  <c r="A16" i="119"/>
  <c r="A20" i="119"/>
  <c r="A25" i="119"/>
  <c r="A8" i="118"/>
  <c r="A17" i="118"/>
  <c r="A21" i="118"/>
  <c r="A26" i="118"/>
  <c r="A30" i="118"/>
  <c r="A5" i="118"/>
  <c r="A9" i="118"/>
  <c r="A14" i="118"/>
  <c r="A18" i="118"/>
  <c r="A23" i="118"/>
  <c r="A27" i="118"/>
  <c r="A6" i="118"/>
  <c r="A10" i="118"/>
  <c r="A15" i="118"/>
  <c r="A19" i="118"/>
  <c r="A24" i="118"/>
  <c r="A28" i="118"/>
  <c r="A7" i="118"/>
  <c r="A11" i="118"/>
  <c r="A16" i="118"/>
  <c r="A20" i="118"/>
  <c r="A25" i="118"/>
  <c r="A29" i="118"/>
  <c r="A30" i="117"/>
  <c r="A11" i="117"/>
  <c r="A20" i="117"/>
  <c r="A5" i="117"/>
  <c r="A14" i="117"/>
  <c r="A23" i="117"/>
  <c r="A7" i="117"/>
  <c r="A16" i="117"/>
  <c r="A25" i="117"/>
  <c r="A9" i="117"/>
  <c r="A18" i="117"/>
  <c r="A27" i="117"/>
  <c r="A6" i="117"/>
  <c r="A10" i="117"/>
  <c r="A15" i="117"/>
  <c r="A19" i="117"/>
  <c r="A24" i="117"/>
  <c r="A28" i="117"/>
  <c r="A8" i="117"/>
  <c r="A12" i="117"/>
  <c r="A17" i="117"/>
  <c r="A21" i="117"/>
  <c r="A26" i="117"/>
  <c r="A26" i="116"/>
  <c r="A19" i="116"/>
  <c r="A6" i="116"/>
  <c r="A24" i="116"/>
  <c r="A10" i="116"/>
  <c r="A28" i="116"/>
  <c r="A8" i="116"/>
  <c r="A12" i="116"/>
  <c r="A17" i="116"/>
  <c r="A21" i="116"/>
  <c r="A30" i="116"/>
  <c r="A5" i="116"/>
  <c r="A9" i="116"/>
  <c r="A14" i="116"/>
  <c r="A18" i="116"/>
  <c r="A23" i="116"/>
  <c r="A27" i="116"/>
  <c r="A7" i="116"/>
  <c r="A11" i="116"/>
  <c r="A16" i="116"/>
  <c r="A20" i="116"/>
  <c r="A25" i="116"/>
  <c r="A29" i="116"/>
  <c r="A10" i="115"/>
  <c r="A19" i="115"/>
  <c r="A28" i="115"/>
  <c r="A27" i="115"/>
  <c r="A11" i="115"/>
  <c r="A20" i="115"/>
  <c r="A29" i="115"/>
  <c r="A6" i="115"/>
  <c r="A15" i="115"/>
  <c r="A8" i="115"/>
  <c r="A12" i="115"/>
  <c r="A17" i="115"/>
  <c r="A21" i="115"/>
  <c r="A26" i="115"/>
  <c r="A30" i="115"/>
  <c r="A5" i="115"/>
  <c r="A9" i="115"/>
  <c r="A14" i="115"/>
  <c r="A18" i="115"/>
  <c r="A23" i="115"/>
  <c r="A6" i="114"/>
  <c r="A10" i="114"/>
  <c r="A8" i="114"/>
  <c r="A12" i="114"/>
  <c r="A5" i="114"/>
  <c r="A9" i="114"/>
  <c r="A7" i="114"/>
  <c r="A11" i="114"/>
  <c r="A16" i="113"/>
  <c r="A28" i="113"/>
  <c r="A20" i="113"/>
  <c r="A7" i="113"/>
  <c r="A25" i="113"/>
  <c r="A11" i="113"/>
  <c r="A8" i="113"/>
  <c r="A12" i="113"/>
  <c r="A17" i="113"/>
  <c r="A21" i="113"/>
  <c r="A26" i="113"/>
  <c r="A30" i="113"/>
  <c r="A5" i="113"/>
  <c r="A9" i="113"/>
  <c r="A14" i="113"/>
  <c r="A18" i="113"/>
  <c r="A23" i="113"/>
  <c r="A27" i="113"/>
  <c r="A6" i="113"/>
  <c r="A10" i="113"/>
  <c r="A15" i="113"/>
  <c r="A19" i="113"/>
  <c r="A24" i="113"/>
  <c r="A16" i="112"/>
  <c r="A28" i="112"/>
  <c r="A20" i="112"/>
  <c r="A7" i="112"/>
  <c r="A25" i="112"/>
  <c r="A11" i="112"/>
  <c r="A8" i="112"/>
  <c r="A12" i="112"/>
  <c r="A17" i="112"/>
  <c r="A21" i="112"/>
  <c r="A26" i="112"/>
  <c r="A30" i="112"/>
  <c r="A5" i="112"/>
  <c r="A9" i="112"/>
  <c r="A14" i="112"/>
  <c r="A18" i="112"/>
  <c r="A23" i="112"/>
  <c r="A27" i="112"/>
  <c r="A6" i="112"/>
  <c r="A10" i="112"/>
  <c r="A15" i="112"/>
  <c r="A19" i="112"/>
  <c r="A24" i="112"/>
  <c r="A8" i="111"/>
  <c r="A12" i="111"/>
  <c r="A17" i="111"/>
  <c r="A21" i="111"/>
  <c r="A26" i="111"/>
  <c r="A30" i="111"/>
  <c r="A5" i="111"/>
  <c r="A9" i="111"/>
  <c r="A14" i="111"/>
  <c r="A18" i="111"/>
  <c r="A23" i="111"/>
  <c r="A27" i="111"/>
  <c r="A6" i="111"/>
  <c r="A10" i="111"/>
  <c r="A15" i="111"/>
  <c r="A19" i="111"/>
  <c r="A24" i="111"/>
  <c r="A28" i="111"/>
  <c r="A7" i="111"/>
  <c r="A11" i="111"/>
  <c r="A16" i="111"/>
  <c r="A20" i="111"/>
  <c r="A25" i="111"/>
  <c r="A28" i="110"/>
  <c r="A20" i="110"/>
  <c r="A7" i="110"/>
  <c r="A25" i="110"/>
  <c r="A11" i="110"/>
  <c r="A29" i="110"/>
  <c r="A8" i="110"/>
  <c r="A12" i="110"/>
  <c r="A17" i="110"/>
  <c r="A21" i="110"/>
  <c r="A26" i="110"/>
  <c r="A30" i="110"/>
  <c r="A5" i="110"/>
  <c r="A9" i="110"/>
  <c r="A14" i="110"/>
  <c r="A18" i="110"/>
  <c r="A23" i="110"/>
  <c r="A27" i="110"/>
  <c r="A6" i="110"/>
  <c r="A10" i="110"/>
  <c r="A15" i="110"/>
  <c r="A19" i="110"/>
  <c r="A24" i="110"/>
  <c r="A8" i="109"/>
  <c r="A12" i="109"/>
  <c r="A17" i="109"/>
  <c r="A21" i="109"/>
  <c r="A26" i="109"/>
  <c r="A30" i="109"/>
  <c r="A5" i="109"/>
  <c r="A9" i="109"/>
  <c r="A14" i="109"/>
  <c r="A18" i="109"/>
  <c r="A23" i="109"/>
  <c r="A27" i="109"/>
  <c r="A6" i="109"/>
  <c r="A10" i="109"/>
  <c r="A15" i="109"/>
  <c r="A19" i="109"/>
  <c r="A24" i="109"/>
  <c r="A28" i="109"/>
  <c r="A7" i="109"/>
  <c r="A11" i="109"/>
  <c r="A16" i="109"/>
  <c r="A20" i="109"/>
  <c r="A25" i="109"/>
  <c r="A28" i="108"/>
  <c r="A20" i="108"/>
  <c r="A7" i="108"/>
  <c r="A25" i="108"/>
  <c r="A11" i="108"/>
  <c r="A29" i="108"/>
  <c r="A8" i="108"/>
  <c r="A12" i="108"/>
  <c r="A17" i="108"/>
  <c r="A21" i="108"/>
  <c r="A26" i="108"/>
  <c r="A30" i="108"/>
  <c r="A5" i="108"/>
  <c r="A9" i="108"/>
  <c r="A14" i="108"/>
  <c r="A18" i="108"/>
  <c r="A23" i="108"/>
  <c r="A27" i="108"/>
  <c r="A6" i="108"/>
  <c r="A10" i="108"/>
  <c r="A15" i="108"/>
  <c r="A19" i="108"/>
  <c r="A24" i="108"/>
  <c r="A8" i="107"/>
  <c r="A12" i="107"/>
  <c r="A17" i="107"/>
  <c r="A21" i="107"/>
  <c r="A26" i="107"/>
  <c r="A30" i="107"/>
  <c r="A5" i="107"/>
  <c r="A9" i="107"/>
  <c r="A14" i="107"/>
  <c r="A18" i="107"/>
  <c r="A23" i="107"/>
  <c r="A27" i="107"/>
  <c r="A6" i="107"/>
  <c r="A10" i="107"/>
  <c r="A15" i="107"/>
  <c r="A19" i="107"/>
  <c r="A24" i="107"/>
  <c r="A28" i="107"/>
  <c r="A7" i="107"/>
  <c r="A11" i="107"/>
  <c r="A16" i="107"/>
  <c r="A20" i="107"/>
  <c r="A25" i="107"/>
  <c r="A7" i="106"/>
  <c r="A11" i="106"/>
  <c r="A16" i="106"/>
  <c r="A20" i="106"/>
  <c r="A25" i="106"/>
  <c r="A29" i="106"/>
  <c r="A8" i="106"/>
  <c r="A5" i="106"/>
  <c r="A9" i="106"/>
  <c r="A14" i="106"/>
  <c r="A18" i="106"/>
  <c r="A23" i="106"/>
  <c r="A27" i="106"/>
  <c r="A6" i="106"/>
  <c r="A10" i="106"/>
  <c r="A15" i="106"/>
  <c r="A19" i="106"/>
  <c r="A24" i="106"/>
  <c r="A28" i="106"/>
  <c r="A12" i="106"/>
  <c r="A17" i="106"/>
  <c r="A21" i="106"/>
  <c r="A26" i="106"/>
  <c r="A8" i="105"/>
  <c r="A12" i="105"/>
  <c r="A5" i="105"/>
  <c r="A9" i="105"/>
  <c r="A6" i="105"/>
  <c r="A10" i="105"/>
  <c r="A8" i="104"/>
  <c r="A12" i="104"/>
  <c r="A5" i="104"/>
  <c r="A9" i="104"/>
  <c r="A6" i="104"/>
  <c r="A10" i="104"/>
  <c r="A7" i="104"/>
  <c r="A8" i="103"/>
  <c r="A12" i="103"/>
  <c r="A17" i="103"/>
  <c r="A21" i="103"/>
  <c r="A26" i="103"/>
  <c r="A5" i="103"/>
  <c r="A9" i="103"/>
  <c r="A14" i="103"/>
  <c r="A18" i="103"/>
  <c r="A23" i="103"/>
  <c r="A27" i="103"/>
  <c r="A6" i="103"/>
  <c r="A10" i="103"/>
  <c r="A15" i="103"/>
  <c r="A19" i="103"/>
  <c r="A24" i="103"/>
  <c r="A28" i="103"/>
  <c r="A7" i="103"/>
  <c r="A11" i="103"/>
  <c r="A16" i="103"/>
  <c r="A20" i="103"/>
  <c r="A25" i="103"/>
  <c r="A29" i="103"/>
  <c r="A8" i="102"/>
  <c r="A12" i="102"/>
  <c r="A5" i="102"/>
  <c r="A9" i="102"/>
  <c r="A6" i="102"/>
  <c r="A10" i="102"/>
  <c r="A7" i="102"/>
  <c r="A11" i="102"/>
  <c r="A7" i="101"/>
  <c r="A8" i="101"/>
  <c r="A12" i="101"/>
  <c r="A5" i="101"/>
  <c r="A9" i="101"/>
  <c r="A6" i="101"/>
  <c r="A10" i="101"/>
  <c r="A7" i="100"/>
  <c r="A25" i="100"/>
  <c r="A11" i="100"/>
  <c r="A29" i="100"/>
  <c r="A8" i="100"/>
  <c r="A12" i="100"/>
  <c r="A17" i="100"/>
  <c r="A21" i="100"/>
  <c r="A26" i="100"/>
  <c r="A30" i="100"/>
  <c r="A5" i="100"/>
  <c r="A9" i="100"/>
  <c r="A14" i="100"/>
  <c r="A18" i="100"/>
  <c r="A23" i="100"/>
  <c r="A27" i="100"/>
  <c r="A6" i="100"/>
  <c r="A10" i="100"/>
  <c r="A15" i="100"/>
  <c r="A19" i="100"/>
  <c r="A24" i="100"/>
  <c r="A8" i="99"/>
  <c r="A17" i="99"/>
  <c r="A21" i="99"/>
  <c r="A26" i="99"/>
  <c r="A30" i="99"/>
  <c r="A5" i="99"/>
  <c r="A9" i="99"/>
  <c r="A14" i="99"/>
  <c r="A18" i="99"/>
  <c r="A23" i="99"/>
  <c r="A27" i="99"/>
  <c r="A6" i="99"/>
  <c r="A10" i="99"/>
  <c r="A15" i="99"/>
  <c r="A19" i="99"/>
  <c r="A24" i="99"/>
  <c r="A28" i="99"/>
  <c r="A7" i="99"/>
  <c r="A11" i="99"/>
  <c r="A16" i="99"/>
  <c r="A20" i="99"/>
  <c r="A25" i="99"/>
  <c r="A29" i="99"/>
  <c r="A8" i="98"/>
  <c r="A12" i="98"/>
  <c r="A5" i="98"/>
  <c r="A9" i="98"/>
  <c r="A6" i="98"/>
  <c r="A10" i="98"/>
  <c r="A7" i="97"/>
  <c r="A25" i="97"/>
  <c r="A11" i="97"/>
  <c r="A8" i="97"/>
  <c r="A12" i="97"/>
  <c r="A17" i="97"/>
  <c r="A21" i="97"/>
  <c r="A26" i="97"/>
  <c r="A30" i="97"/>
  <c r="A5" i="97"/>
  <c r="A9" i="97"/>
  <c r="A14" i="97"/>
  <c r="A18" i="97"/>
  <c r="A23" i="97"/>
  <c r="A27" i="97"/>
  <c r="A6" i="97"/>
  <c r="A10" i="97"/>
  <c r="A15" i="97"/>
  <c r="A19" i="97"/>
  <c r="A24" i="97"/>
  <c r="A30" i="96"/>
  <c r="A9" i="96"/>
  <c r="A15" i="96"/>
  <c r="A20" i="96"/>
  <c r="A27" i="96"/>
  <c r="A5" i="96"/>
  <c r="A10" i="96"/>
  <c r="A16" i="96"/>
  <c r="A23" i="96"/>
  <c r="A28" i="96"/>
  <c r="A8" i="96"/>
  <c r="A12" i="96"/>
  <c r="A17" i="96"/>
  <c r="A21" i="96"/>
  <c r="A26" i="96"/>
  <c r="A8" i="95"/>
  <c r="A12" i="95"/>
  <c r="A17" i="95"/>
  <c r="A21" i="95"/>
  <c r="A26" i="95"/>
  <c r="A30" i="95"/>
  <c r="A5" i="95"/>
  <c r="A9" i="95"/>
  <c r="A14" i="95"/>
  <c r="A18" i="95"/>
  <c r="A23" i="95"/>
  <c r="A27" i="95"/>
  <c r="A6" i="95"/>
  <c r="A10" i="95"/>
  <c r="A15" i="95"/>
  <c r="A19" i="95"/>
  <c r="A24" i="95"/>
  <c r="A28" i="95"/>
  <c r="A7" i="95"/>
  <c r="A11" i="95"/>
  <c r="A16" i="95"/>
  <c r="A20" i="95"/>
  <c r="A25" i="95"/>
  <c r="A8" i="94"/>
  <c r="A12" i="94"/>
  <c r="A5" i="94"/>
  <c r="A9" i="94"/>
  <c r="A6" i="94"/>
  <c r="A10" i="94"/>
  <c r="A7" i="94"/>
  <c r="A8" i="93"/>
  <c r="A12" i="93"/>
  <c r="A5" i="93"/>
  <c r="A9" i="93"/>
  <c r="A6" i="93"/>
  <c r="A10" i="93"/>
  <c r="A7" i="93"/>
  <c r="A11" i="93"/>
  <c r="A8" i="92"/>
  <c r="A12" i="92"/>
  <c r="A17" i="92"/>
  <c r="A21" i="92"/>
  <c r="A26" i="92"/>
  <c r="A5" i="92"/>
  <c r="A9" i="92"/>
  <c r="A14" i="92"/>
  <c r="A18" i="92"/>
  <c r="A23" i="92"/>
  <c r="A27" i="92"/>
  <c r="A6" i="92"/>
  <c r="A10" i="92"/>
  <c r="A15" i="92"/>
  <c r="A19" i="92"/>
  <c r="A24" i="92"/>
  <c r="A28" i="92"/>
  <c r="A7" i="92"/>
  <c r="A11" i="92"/>
  <c r="A16" i="92"/>
  <c r="A20" i="92"/>
  <c r="A25" i="92"/>
  <c r="A29" i="92"/>
  <c r="L1" i="91"/>
  <c r="A11" i="91" s="1"/>
  <c r="G1" i="91"/>
  <c r="G1" i="90"/>
  <c r="L1" i="90"/>
  <c r="A30" i="90" s="1"/>
  <c r="A16" i="91" l="1"/>
  <c r="A29" i="91"/>
  <c r="A20" i="91"/>
  <c r="A7" i="91"/>
  <c r="A25" i="91"/>
  <c r="A8" i="91"/>
  <c r="A12" i="91"/>
  <c r="A17" i="91"/>
  <c r="A21" i="91"/>
  <c r="A26" i="91"/>
  <c r="A30" i="91"/>
  <c r="A5" i="91"/>
  <c r="A9" i="91"/>
  <c r="A14" i="91"/>
  <c r="A18" i="91"/>
  <c r="A23" i="91"/>
  <c r="A27" i="91"/>
  <c r="A6" i="91"/>
  <c r="A10" i="91"/>
  <c r="A15" i="91"/>
  <c r="A19" i="91"/>
  <c r="A24" i="91"/>
  <c r="A28" i="91"/>
  <c r="A5" i="90"/>
  <c r="A9" i="90"/>
  <c r="A14" i="90"/>
  <c r="A18" i="90"/>
  <c r="A23" i="90"/>
  <c r="A27" i="90"/>
  <c r="A6" i="90"/>
  <c r="A10" i="90"/>
  <c r="A15" i="90"/>
  <c r="A19" i="90"/>
  <c r="A24" i="90"/>
  <c r="A28" i="90"/>
  <c r="A7" i="90"/>
  <c r="A11" i="90"/>
  <c r="A16" i="90"/>
  <c r="A20" i="90"/>
  <c r="A25" i="90"/>
  <c r="A29" i="90"/>
  <c r="A8" i="90"/>
  <c r="A12" i="90"/>
  <c r="A17" i="90"/>
  <c r="A21" i="90"/>
  <c r="A26" i="90"/>
  <c r="L1" i="89"/>
  <c r="G1" i="89"/>
  <c r="G1" i="88"/>
  <c r="A20" i="89" l="1"/>
  <c r="A19" i="89"/>
  <c r="A17" i="89"/>
  <c r="A16" i="89"/>
  <c r="A18" i="89"/>
  <c r="A15" i="89"/>
  <c r="A14" i="89"/>
  <c r="A13" i="89"/>
  <c r="A5" i="89"/>
  <c r="A9" i="89"/>
  <c r="A7" i="89"/>
  <c r="A11" i="89"/>
  <c r="A4" i="89"/>
  <c r="A8" i="89"/>
  <c r="A6" i="89"/>
  <c r="A10" i="89"/>
  <c r="L1" i="87"/>
  <c r="A10" i="87" s="1"/>
  <c r="G1" i="87"/>
  <c r="L1" i="86"/>
  <c r="G1" i="86"/>
  <c r="L1" i="85"/>
  <c r="A12" i="85" s="1"/>
  <c r="G1" i="85"/>
  <c r="L1" i="84"/>
  <c r="G1" i="84"/>
  <c r="A21" i="86" l="1"/>
  <c r="A20" i="86"/>
  <c r="A18" i="86"/>
  <c r="A17" i="86"/>
  <c r="A19" i="86"/>
  <c r="A16" i="86"/>
  <c r="A15" i="86"/>
  <c r="A14" i="86"/>
  <c r="A5" i="87"/>
  <c r="A6" i="87"/>
  <c r="A7" i="87"/>
  <c r="A8" i="87"/>
  <c r="A9" i="87"/>
  <c r="A11" i="87"/>
  <c r="A15" i="87"/>
  <c r="A17" i="87"/>
  <c r="A19" i="87"/>
  <c r="A21" i="87"/>
  <c r="A24" i="87"/>
  <c r="A26" i="87"/>
  <c r="A28" i="87"/>
  <c r="A30" i="87"/>
  <c r="A12" i="87"/>
  <c r="A14" i="87"/>
  <c r="A16" i="87"/>
  <c r="A18" i="87"/>
  <c r="A20" i="87"/>
  <c r="A23" i="87"/>
  <c r="A25" i="87"/>
  <c r="A27" i="87"/>
  <c r="A29" i="87"/>
  <c r="A10" i="86"/>
  <c r="A5" i="86"/>
  <c r="A6" i="86"/>
  <c r="A7" i="86"/>
  <c r="A8" i="86"/>
  <c r="A9" i="86"/>
  <c r="A12" i="86"/>
  <c r="A11" i="86"/>
  <c r="A6" i="85"/>
  <c r="A10" i="85"/>
  <c r="A7" i="85"/>
  <c r="A11" i="85"/>
  <c r="A5" i="85"/>
  <c r="A9" i="85"/>
  <c r="A8" i="85"/>
  <c r="A10" i="84"/>
  <c r="A5" i="84"/>
  <c r="A6" i="84"/>
  <c r="A7" i="84"/>
  <c r="A8" i="84"/>
  <c r="A9" i="84"/>
  <c r="A12" i="84"/>
  <c r="A11" i="84"/>
  <c r="G1" i="81" l="1"/>
  <c r="L1" i="81" l="1"/>
  <c r="A11" i="81" l="1"/>
  <c r="A5" i="81"/>
  <c r="A10" i="81"/>
  <c r="A30" i="81"/>
  <c r="A28" i="81"/>
  <c r="A26" i="81"/>
  <c r="A24" i="81"/>
  <c r="A21" i="81"/>
  <c r="A19" i="81"/>
  <c r="A17" i="81"/>
  <c r="A15" i="81"/>
  <c r="A29" i="81"/>
  <c r="A27" i="81"/>
  <c r="A25" i="81"/>
  <c r="A23" i="81"/>
  <c r="A20" i="81"/>
  <c r="A18" i="81"/>
  <c r="A16" i="81"/>
  <c r="A14" i="81"/>
  <c r="A12" i="81"/>
  <c r="A9" i="81"/>
  <c r="A8" i="81"/>
  <c r="A7" i="81"/>
  <c r="A6" i="81"/>
  <c r="F4" i="76" l="1"/>
  <c r="F5" i="76"/>
</calcChain>
</file>

<file path=xl/sharedStrings.xml><?xml version="1.0" encoding="utf-8"?>
<sst xmlns="http://schemas.openxmlformats.org/spreadsheetml/2006/main" count="18738" uniqueCount="805">
  <si>
    <t>MOV   [reg1],reg2</t>
  </si>
  <si>
    <t>Interrupt</t>
  </si>
  <si>
    <t>FETCH</t>
  </si>
  <si>
    <t>000</t>
  </si>
  <si>
    <t>002</t>
  </si>
  <si>
    <t>004</t>
  </si>
  <si>
    <t>RES  &lt; ALU(INC)</t>
  </si>
  <si>
    <t>nop</t>
  </si>
  <si>
    <t>OP1</t>
  </si>
  <si>
    <t>OPERAND 1</t>
  </si>
  <si>
    <t>OP2</t>
  </si>
  <si>
    <t>OPERAND 2</t>
  </si>
  <si>
    <t>EXE</t>
  </si>
  <si>
    <t>EXECUTE</t>
  </si>
  <si>
    <t>MDR &lt; DATA</t>
  </si>
  <si>
    <t>RES  &lt; ALU(DEC)</t>
  </si>
  <si>
    <t>RES &lt; ALU(INC)</t>
  </si>
  <si>
    <t>JZ   offset</t>
  </si>
  <si>
    <t>RES &lt; ALU(ADD)</t>
  </si>
  <si>
    <t>CMP   reg,const</t>
  </si>
  <si>
    <t>MDR &lt; IO</t>
  </si>
  <si>
    <t>010</t>
  </si>
  <si>
    <t>RET</t>
  </si>
  <si>
    <t>PUSHF</t>
  </si>
  <si>
    <t>CLI</t>
  </si>
  <si>
    <t>0EF</t>
  </si>
  <si>
    <t>RES  &lt; ALU(AND)</t>
  </si>
  <si>
    <t>NOP</t>
  </si>
  <si>
    <t>Template</t>
  </si>
  <si>
    <t>Opcode:</t>
  </si>
  <si>
    <t>Description</t>
  </si>
  <si>
    <t>increment IP value</t>
  </si>
  <si>
    <t>Microcode Address (ADDR)</t>
  </si>
  <si>
    <t xml:space="preserve"> Next MIP Address (NA)</t>
  </si>
  <si>
    <t>Offset, Address or Value (VAL)</t>
  </si>
  <si>
    <t>Fetch</t>
  </si>
  <si>
    <t>perform nop</t>
  </si>
  <si>
    <t>MIP &lt; DecAddr</t>
  </si>
  <si>
    <t>1</t>
  </si>
  <si>
    <t>load decoded opcode address into MIP</t>
  </si>
  <si>
    <t>load fetch address into MIP</t>
  </si>
  <si>
    <t>transfer opcode into IR</t>
  </si>
  <si>
    <t>update IP</t>
  </si>
  <si>
    <t>select SP</t>
  </si>
  <si>
    <t>decrement SP value</t>
  </si>
  <si>
    <t>update SP</t>
  </si>
  <si>
    <t>put IP value onto address bus</t>
  </si>
  <si>
    <t>read opcode from data bus</t>
  </si>
  <si>
    <t>read subroutine address from data bus</t>
  </si>
  <si>
    <t>save subroutine address in MBR</t>
  </si>
  <si>
    <t>put SP value onto address bus</t>
  </si>
  <si>
    <t>write return address onto stack</t>
  </si>
  <si>
    <t>update IP with subroutine address</t>
  </si>
  <si>
    <t>write register value onto stack</t>
  </si>
  <si>
    <t>save register value into MBR</t>
  </si>
  <si>
    <t>save register address into MBR</t>
  </si>
  <si>
    <t>select register</t>
  </si>
  <si>
    <t>transfer stack value into register</t>
  </si>
  <si>
    <t>read stack value from data bus</t>
  </si>
  <si>
    <t>read return address from data bus</t>
  </si>
  <si>
    <t>transfer return address into IP</t>
  </si>
  <si>
    <t>POPF</t>
  </si>
  <si>
    <t>increment SP value</t>
  </si>
  <si>
    <t>transfer stack value into SR</t>
  </si>
  <si>
    <t>mask SR value</t>
  </si>
  <si>
    <t>update SR</t>
  </si>
  <si>
    <t>STI</t>
  </si>
  <si>
    <t>RES  &lt; ALU(OR)</t>
  </si>
  <si>
    <t>IRET</t>
  </si>
  <si>
    <t>OP</t>
  </si>
  <si>
    <t>OPERAND</t>
  </si>
  <si>
    <t>read vector address from data bus</t>
  </si>
  <si>
    <t>save vector address in MBR</t>
  </si>
  <si>
    <t>put vector address onto address bus</t>
  </si>
  <si>
    <t>clear interrupt request flag IRF</t>
  </si>
  <si>
    <t>IRF = 0</t>
  </si>
  <si>
    <t>save interrupt routine address into MBR</t>
  </si>
  <si>
    <t>update IP with interrupt routine address</t>
  </si>
  <si>
    <t>put port address onto address bus</t>
  </si>
  <si>
    <t>read io data</t>
  </si>
  <si>
    <t>read port address from data bus</t>
  </si>
  <si>
    <t>read register address from data bus</t>
  </si>
  <si>
    <t>select AL</t>
  </si>
  <si>
    <t>transfer io data into AL</t>
  </si>
  <si>
    <t>write io data onto data bus</t>
  </si>
  <si>
    <t>read offset from data bus</t>
  </si>
  <si>
    <t>save offset into MBR</t>
  </si>
  <si>
    <t>add</t>
  </si>
  <si>
    <t>add to obtain new IP value</t>
  </si>
  <si>
    <t>JO   offset</t>
  </si>
  <si>
    <t>JS   offset</t>
  </si>
  <si>
    <t>JNO   offset</t>
  </si>
  <si>
    <t>NO == 1 ?</t>
  </si>
  <si>
    <t>if NO == 1 jump else continue</t>
  </si>
  <si>
    <t>JNS   offset</t>
  </si>
  <si>
    <t>JNZ   offset</t>
  </si>
  <si>
    <t>JMP   offset</t>
  </si>
  <si>
    <t>decrement IP value</t>
  </si>
  <si>
    <t>calculate IP + 2</t>
  </si>
  <si>
    <t>update selected register</t>
  </si>
  <si>
    <t>decrement</t>
  </si>
  <si>
    <t>RES  &lt; ALU(NOT)</t>
  </si>
  <si>
    <t>perform not operation</t>
  </si>
  <si>
    <t>increment</t>
  </si>
  <si>
    <t>rotate left</t>
  </si>
  <si>
    <t>RES  &lt; ALU(ROL)</t>
  </si>
  <si>
    <t>RES  &lt; ALU(ROR)</t>
  </si>
  <si>
    <t>rotate right</t>
  </si>
  <si>
    <t>shift left</t>
  </si>
  <si>
    <t>RES  &lt; ALU(SHL)</t>
  </si>
  <si>
    <t>shift right</t>
  </si>
  <si>
    <t>RES  &lt; ALU(SHR)</t>
  </si>
  <si>
    <t>MOV   reg,const</t>
  </si>
  <si>
    <t>read constant from data bus</t>
  </si>
  <si>
    <t>move constant into register</t>
  </si>
  <si>
    <t>ADD   reg,const</t>
  </si>
  <si>
    <t>save constant into MBR</t>
  </si>
  <si>
    <t>RES  &lt; ALU(ADD)</t>
  </si>
  <si>
    <t>update register</t>
  </si>
  <si>
    <t>AND   reg,const</t>
  </si>
  <si>
    <t>and</t>
  </si>
  <si>
    <t>DIV   reg,const</t>
  </si>
  <si>
    <t>divide</t>
  </si>
  <si>
    <t>RES  &lt; ALU(DIV)</t>
  </si>
  <si>
    <t>MOD   reg,const</t>
  </si>
  <si>
    <t>modulo</t>
  </si>
  <si>
    <t>RES  &lt; ALU(MOD)</t>
  </si>
  <si>
    <t>multiply</t>
  </si>
  <si>
    <t>RES  &lt; ALU(MUL)</t>
  </si>
  <si>
    <t>perform or operation</t>
  </si>
  <si>
    <t>perform exclusive or operation</t>
  </si>
  <si>
    <t>RES  &lt; ALU(XOR)</t>
  </si>
  <si>
    <t>subtract</t>
  </si>
  <si>
    <t>RES  &lt; ALU(SUB)</t>
  </si>
  <si>
    <t>ADD   reg1,reg2</t>
  </si>
  <si>
    <t>read second register address from data bus</t>
  </si>
  <si>
    <t>select second register</t>
  </si>
  <si>
    <t>select first register</t>
  </si>
  <si>
    <t>save first register address into MBR</t>
  </si>
  <si>
    <t>save first register value into RES</t>
  </si>
  <si>
    <t>update first register</t>
  </si>
  <si>
    <t>0FF</t>
  </si>
  <si>
    <t>AND   reg1,reg2</t>
  </si>
  <si>
    <t>RES &lt; ALU(AND)</t>
  </si>
  <si>
    <t>perform and operation</t>
  </si>
  <si>
    <t>DIV   reg1,reg2</t>
  </si>
  <si>
    <t>RES &lt; ALU(DIV)</t>
  </si>
  <si>
    <t>MOD   reg1,reg2</t>
  </si>
  <si>
    <t>RES &lt; ALU(MOD)</t>
  </si>
  <si>
    <t>MUL   reg1,reg2</t>
  </si>
  <si>
    <t>RES &lt; ALU(MUL)</t>
  </si>
  <si>
    <t>RES &lt; ALU(OR)</t>
  </si>
  <si>
    <t>perform xor operation</t>
  </si>
  <si>
    <t>RES &lt; ALU(XOR)</t>
  </si>
  <si>
    <t>RES &lt; ALU(SUB)</t>
  </si>
  <si>
    <t>MOV   reg1,reg2</t>
  </si>
  <si>
    <t>save second register value into RES</t>
  </si>
  <si>
    <t>read first register address from data bus</t>
  </si>
  <si>
    <t>MOV   reg1,[reg2]</t>
  </si>
  <si>
    <t>put second register value onto address bus</t>
  </si>
  <si>
    <t>read pointed-to memory value</t>
  </si>
  <si>
    <t>read memory address from data bus</t>
  </si>
  <si>
    <t>put memory address onto address bus</t>
  </si>
  <si>
    <t>save memory address into MBR</t>
  </si>
  <si>
    <t>put saved memory address onto addr bus</t>
  </si>
  <si>
    <t>put first register value onto address bus</t>
  </si>
  <si>
    <t>CMP   reg1,reg2</t>
  </si>
  <si>
    <t>Template   op</t>
  </si>
  <si>
    <t>Template   op1, op2</t>
  </si>
  <si>
    <t>0xB0</t>
  </si>
  <si>
    <t>0xA0</t>
  </si>
  <si>
    <t>0xBA</t>
  </si>
  <si>
    <t>0xAA</t>
  </si>
  <si>
    <t>0xCA</t>
  </si>
  <si>
    <t>0xFD</t>
  </si>
  <si>
    <t>0xDB</t>
  </si>
  <si>
    <t>0xDA</t>
  </si>
  <si>
    <t>0xA5</t>
  </si>
  <si>
    <t>0xB6</t>
  </si>
  <si>
    <t>0xA3</t>
  </si>
  <si>
    <t>0xF0</t>
  </si>
  <si>
    <t>0xA4</t>
  </si>
  <si>
    <t>0xCC</t>
  </si>
  <si>
    <t>0xCD</t>
  </si>
  <si>
    <t>0xC0</t>
  </si>
  <si>
    <t>0xC6</t>
  </si>
  <si>
    <t>0xC4</t>
  </si>
  <si>
    <t>0xC2</t>
  </si>
  <si>
    <t>0xC5</t>
  </si>
  <si>
    <t>0xC3</t>
  </si>
  <si>
    <t>0xC1</t>
  </si>
  <si>
    <t>0xD0</t>
  </si>
  <si>
    <t>0xD1</t>
  </si>
  <si>
    <t>0xD3</t>
  </si>
  <si>
    <t>0xD4</t>
  </si>
  <si>
    <t>0xD2</t>
  </si>
  <si>
    <t>0xB2</t>
  </si>
  <si>
    <t>0xA2</t>
  </si>
  <si>
    <t>0xFF</t>
  </si>
  <si>
    <t>0xAD</t>
  </si>
  <si>
    <t>0xBB</t>
  </si>
  <si>
    <t>0xAB</t>
  </si>
  <si>
    <t>0xF1</t>
  </si>
  <si>
    <t>0xE1</t>
  </si>
  <si>
    <t>0xEB</t>
  </si>
  <si>
    <t>0xE0</t>
  </si>
  <si>
    <t>0xEA</t>
  </si>
  <si>
    <t>0xCB</t>
  </si>
  <si>
    <t>0x9A</t>
  </si>
  <si>
    <t>0x9B</t>
  </si>
  <si>
    <t>0x9C</t>
  </si>
  <si>
    <t>0x9D</t>
  </si>
  <si>
    <t>0xFC</t>
  </si>
  <si>
    <t>0xB1</t>
  </si>
  <si>
    <t>0xA1</t>
  </si>
  <si>
    <t>0xBC</t>
  </si>
  <si>
    <t>0xAC</t>
  </si>
  <si>
    <t>CMP   reg,[addr]</t>
  </si>
  <si>
    <t>0xDC</t>
  </si>
  <si>
    <t>read memory value from data bus</t>
  </si>
  <si>
    <t>0xB3</t>
  </si>
  <si>
    <t>0xA6</t>
  </si>
  <si>
    <t>0xD5</t>
  </si>
  <si>
    <t>Decoder Table</t>
  </si>
  <si>
    <t>0x00</t>
  </si>
  <si>
    <t>HALT</t>
  </si>
  <si>
    <t>DESCRIPTION</t>
  </si>
  <si>
    <t>INSTRUCTION TYPE</t>
  </si>
  <si>
    <t>INC   reg</t>
  </si>
  <si>
    <t>DEC   reg</t>
  </si>
  <si>
    <t>NOT   reg</t>
  </si>
  <si>
    <t>CALL   addr</t>
  </si>
  <si>
    <t>INT   addr</t>
  </si>
  <si>
    <t>PUSH   reg</t>
  </si>
  <si>
    <t>IN   addr</t>
  </si>
  <si>
    <t>Halt processor, inhibit further micro clocks</t>
  </si>
  <si>
    <t>Add, reg1 := reg1 + reg2</t>
  </si>
  <si>
    <t>Subtract, reg1 := reg1 - reg2</t>
  </si>
  <si>
    <t>Multiply, reg1 := reg1 * reg2</t>
  </si>
  <si>
    <t>Divide, reg1 := reg1 / reg2</t>
  </si>
  <si>
    <t>Modulo, reg1 := reg1 % reg2</t>
  </si>
  <si>
    <t>Logical and, reg1 := reg1 &amp; reg2</t>
  </si>
  <si>
    <t>Logical or, reg1 := reg1 | reg2</t>
  </si>
  <si>
    <t>Logical xor, reg1 := reg1 ^ reg2</t>
  </si>
  <si>
    <t>Logical not, reg := !reg</t>
  </si>
  <si>
    <t>Subtract, reg := reg - const</t>
  </si>
  <si>
    <t>Add, reg := reg + const</t>
  </si>
  <si>
    <t>Multiply, reg := reg * const</t>
  </si>
  <si>
    <t>Divide, reg := reg /const</t>
  </si>
  <si>
    <t>Modulo, reg := reg % const</t>
  </si>
  <si>
    <t>Logical and, reg := reg &amp; const</t>
  </si>
  <si>
    <t>Logical or, reg := reg | const</t>
  </si>
  <si>
    <t>Logical xor, reg := reg ^ const</t>
  </si>
  <si>
    <t>Jump unconditionally</t>
  </si>
  <si>
    <t>Jump if Z = 1</t>
  </si>
  <si>
    <t>Jump if S = 1</t>
  </si>
  <si>
    <t>Jump if S = 0</t>
  </si>
  <si>
    <t>Jump if O = 1</t>
  </si>
  <si>
    <t>Jump if O = 0</t>
  </si>
  <si>
    <t>Return from subroutine</t>
  </si>
  <si>
    <t>Perform a software interrupt</t>
  </si>
  <si>
    <t>Return from a hardware or a software interrupt</t>
  </si>
  <si>
    <t>Move, reg := const</t>
  </si>
  <si>
    <t>Move, addr := reg</t>
  </si>
  <si>
    <t>Move, reg1 := reg2</t>
  </si>
  <si>
    <t>Move, reg := |addr|</t>
  </si>
  <si>
    <t>Move, reg1 := |reg2|</t>
  </si>
  <si>
    <t>Move, |reg1| := reg2</t>
  </si>
  <si>
    <t>Compare, reg1 - reg2</t>
  </si>
  <si>
    <t>Compare, reg - const</t>
  </si>
  <si>
    <t>Compare, reg - |addr|</t>
  </si>
  <si>
    <t>Push reg onto stack</t>
  </si>
  <si>
    <t>Pop reg from stack</t>
  </si>
  <si>
    <t>Push flags onto stack</t>
  </si>
  <si>
    <t>Pop flags from stack</t>
  </si>
  <si>
    <t>Read port at addr</t>
  </si>
  <si>
    <t>Write to port at addr</t>
  </si>
  <si>
    <t>Enable interrupt, set I = 1</t>
  </si>
  <si>
    <t>NUMBER OF MACRO CYCLES</t>
  </si>
  <si>
    <t>NUMBER OF MICRO CYCLES</t>
  </si>
  <si>
    <t>Opcode fetch</t>
  </si>
  <si>
    <t>Interrupt invocation</t>
  </si>
  <si>
    <t>Readme</t>
  </si>
  <si>
    <t>Microcode Address</t>
  </si>
  <si>
    <t>ADDR</t>
  </si>
  <si>
    <t>Next MIP Address</t>
  </si>
  <si>
    <t>NA</t>
  </si>
  <si>
    <t>VAL</t>
  </si>
  <si>
    <t>Offset, Address or Value</t>
  </si>
  <si>
    <t>CRIT</t>
  </si>
  <si>
    <t>Clear Interrupt Flag</t>
  </si>
  <si>
    <t>ADD</t>
  </si>
  <si>
    <t>SUB</t>
  </si>
  <si>
    <t>MUL</t>
  </si>
  <si>
    <t>DIV</t>
  </si>
  <si>
    <t>MOD</t>
  </si>
  <si>
    <t>DEC</t>
  </si>
  <si>
    <t>INC</t>
  </si>
  <si>
    <t>OR</t>
  </si>
  <si>
    <t>XOR</t>
  </si>
  <si>
    <t>NOT</t>
  </si>
  <si>
    <t>AND</t>
  </si>
  <si>
    <t>SHR</t>
  </si>
  <si>
    <t>SHL</t>
  </si>
  <si>
    <t>ROR</t>
  </si>
  <si>
    <t>ROL</t>
  </si>
  <si>
    <t>to SEL</t>
  </si>
  <si>
    <t>to [SEL]</t>
  </si>
  <si>
    <t>from [SEL]</t>
  </si>
  <si>
    <t>from IP</t>
  </si>
  <si>
    <t>to MBR</t>
  </si>
  <si>
    <t>from MBR</t>
  </si>
  <si>
    <t>to MAR</t>
  </si>
  <si>
    <t>to MDR</t>
  </si>
  <si>
    <t>from MDR</t>
  </si>
  <si>
    <t>to RES</t>
  </si>
  <si>
    <t>from RES</t>
  </si>
  <si>
    <t>to SR</t>
  </si>
  <si>
    <t>from SR</t>
  </si>
  <si>
    <t>000 .. FFF</t>
  </si>
  <si>
    <t>0, 1</t>
  </si>
  <si>
    <t>Number of bits</t>
  </si>
  <si>
    <t>0 .. 6</t>
  </si>
  <si>
    <t>Individual value</t>
  </si>
  <si>
    <t>Range</t>
  </si>
  <si>
    <t>Abbreviation</t>
  </si>
  <si>
    <t>Architecture</t>
  </si>
  <si>
    <t>read int'pt routine address from data bus</t>
  </si>
  <si>
    <t>MOV   reg,[addr]</t>
  </si>
  <si>
    <t>HW Int</t>
  </si>
  <si>
    <t>020</t>
  </si>
  <si>
    <t>028</t>
  </si>
  <si>
    <t>038</t>
  </si>
  <si>
    <t>048</t>
  </si>
  <si>
    <t>058</t>
  </si>
  <si>
    <t>068</t>
  </si>
  <si>
    <t>080</t>
  </si>
  <si>
    <t>098</t>
  </si>
  <si>
    <t>0B0</t>
  </si>
  <si>
    <t>0C8</t>
  </si>
  <si>
    <t>0D8</t>
  </si>
  <si>
    <t>0E8</t>
  </si>
  <si>
    <t>158</t>
  </si>
  <si>
    <t>100</t>
  </si>
  <si>
    <t>118</t>
  </si>
  <si>
    <t>130</t>
  </si>
  <si>
    <t>148</t>
  </si>
  <si>
    <t>170</t>
  </si>
  <si>
    <t>188</t>
  </si>
  <si>
    <t>1A0</t>
  </si>
  <si>
    <t>1B8</t>
  </si>
  <si>
    <t>1D0</t>
  </si>
  <si>
    <t>1E8</t>
  </si>
  <si>
    <t>200</t>
  </si>
  <si>
    <t>228</t>
  </si>
  <si>
    <t>240</t>
  </si>
  <si>
    <t>258</t>
  </si>
  <si>
    <t>270</t>
  </si>
  <si>
    <t>288</t>
  </si>
  <si>
    <t>2A0</t>
  </si>
  <si>
    <t>2B8</t>
  </si>
  <si>
    <t>2C8</t>
  </si>
  <si>
    <t>No operation</t>
  </si>
  <si>
    <t>Increment reg</t>
  </si>
  <si>
    <t>Decrement reg</t>
  </si>
  <si>
    <t>Rotate left reg</t>
  </si>
  <si>
    <t>Rotate right reg</t>
  </si>
  <si>
    <t>Shift left reg</t>
  </si>
  <si>
    <t>Shift right reg</t>
  </si>
  <si>
    <t>Call a subroutine</t>
  </si>
  <si>
    <t>MPM ADDRESS</t>
  </si>
  <si>
    <t>OPCODE</t>
  </si>
  <si>
    <t>Jump if  Z = 0</t>
  </si>
  <si>
    <t>2D0</t>
  </si>
  <si>
    <t>Disable interrupt,  set I = 0</t>
  </si>
  <si>
    <t>410</t>
  </si>
  <si>
    <t>418</t>
  </si>
  <si>
    <t>218</t>
  </si>
  <si>
    <t>2E8</t>
  </si>
  <si>
    <t>3E0</t>
  </si>
  <si>
    <t>3E8</t>
  </si>
  <si>
    <t>ROL reg</t>
  </si>
  <si>
    <t>ROR reg</t>
  </si>
  <si>
    <t>SHL reg</t>
  </si>
  <si>
    <t>SHR reg</t>
  </si>
  <si>
    <t>ADD reg1,reg2</t>
  </si>
  <si>
    <t>SUB reg1,reg2</t>
  </si>
  <si>
    <t>MUL reg1,reg2</t>
  </si>
  <si>
    <t>DIV reg1,reg2</t>
  </si>
  <si>
    <t>INC reg</t>
  </si>
  <si>
    <t>DEC reg</t>
  </si>
  <si>
    <t>MOD reg1,reg2</t>
  </si>
  <si>
    <t>AND reg1,reg2</t>
  </si>
  <si>
    <t>OR reg1,reg2</t>
  </si>
  <si>
    <t>XOR reg1,reg2</t>
  </si>
  <si>
    <t>NOT reg</t>
  </si>
  <si>
    <t>ADD reg,const</t>
  </si>
  <si>
    <t>SUB reg,const</t>
  </si>
  <si>
    <t>MUL reg,const</t>
  </si>
  <si>
    <t>DIV reg,const</t>
  </si>
  <si>
    <t>MOD reg,const</t>
  </si>
  <si>
    <t>AND reg,const</t>
  </si>
  <si>
    <t>OR reg,const</t>
  </si>
  <si>
    <t>XOR reg,const</t>
  </si>
  <si>
    <t>JMP offset</t>
  </si>
  <si>
    <t>JZ offset</t>
  </si>
  <si>
    <t>JNZ offset</t>
  </si>
  <si>
    <t>JS offset</t>
  </si>
  <si>
    <t>JNS offset</t>
  </si>
  <si>
    <t>JO offset</t>
  </si>
  <si>
    <t>JNO offset</t>
  </si>
  <si>
    <t>CALL addr</t>
  </si>
  <si>
    <t>INT addr</t>
  </si>
  <si>
    <t>MOV reg,const</t>
  </si>
  <si>
    <t>MOV reg,|addr|</t>
  </si>
  <si>
    <t>MOV |addr|,reg</t>
  </si>
  <si>
    <t>MOV reg1,|reg2|</t>
  </si>
  <si>
    <t>MOV |reg1|,reg2</t>
  </si>
  <si>
    <t>MOV reg1,reg2</t>
  </si>
  <si>
    <t>CMP reg1,reg2</t>
  </si>
  <si>
    <t>CMP reg,const</t>
  </si>
  <si>
    <t>CMP reg,|addr|</t>
  </si>
  <si>
    <t>PUSH reg</t>
  </si>
  <si>
    <t>POP reg</t>
  </si>
  <si>
    <t>IN addr</t>
  </si>
  <si>
    <t>OUT addr</t>
  </si>
  <si>
    <t>2F0</t>
  </si>
  <si>
    <t>318</t>
  </si>
  <si>
    <t>300</t>
  </si>
  <si>
    <t>330</t>
  </si>
  <si>
    <t>348</t>
  </si>
  <si>
    <t>360</t>
  </si>
  <si>
    <t>378</t>
  </si>
  <si>
    <t>390</t>
  </si>
  <si>
    <t>3A8</t>
  </si>
  <si>
    <t>3C0</t>
  </si>
  <si>
    <t>3D0</t>
  </si>
  <si>
    <t>3F0</t>
  </si>
  <si>
    <t>400</t>
  </si>
  <si>
    <t>420</t>
  </si>
  <si>
    <t>NS == 1 ?</t>
  </si>
  <si>
    <t>if NS == 1 jump else continue</t>
  </si>
  <si>
    <t>NZ == 1 ?</t>
  </si>
  <si>
    <t>if NZ == 1 jump else continue</t>
  </si>
  <si>
    <t>O == 1 ?</t>
  </si>
  <si>
    <t>if O == 1 jump else continue</t>
  </si>
  <si>
    <t>S == 1 ?</t>
  </si>
  <si>
    <t>if S == 1 jump else continue</t>
  </si>
  <si>
    <t>Z == 1 ?</t>
  </si>
  <si>
    <t>if Z == 1 jump else continue</t>
  </si>
  <si>
    <t>save first register value into MBR</t>
  </si>
  <si>
    <t>write second register value</t>
  </si>
  <si>
    <t>write selected register value</t>
  </si>
  <si>
    <t>write status register</t>
  </si>
  <si>
    <t>save SR value into MBR</t>
  </si>
  <si>
    <t>009</t>
  </si>
  <si>
    <t>perform nop: never executed</t>
  </si>
  <si>
    <t>perform nop: entry point</t>
  </si>
  <si>
    <t>Affect Flag (AF)</t>
  </si>
  <si>
    <t>R/W</t>
  </si>
  <si>
    <t>IO/MEM</t>
  </si>
  <si>
    <t>Pseudo Code</t>
  </si>
  <si>
    <t>Next</t>
  </si>
  <si>
    <t>R</t>
  </si>
  <si>
    <t>MEM</t>
  </si>
  <si>
    <t>Enable Value (EV)</t>
  </si>
  <si>
    <t>Flag Criterion (CRIT)</t>
  </si>
  <si>
    <t>Clear Interrupt Flag (CIF)</t>
  </si>
  <si>
    <t>ALU Operation (ALU)</t>
  </si>
  <si>
    <t>Destination Register (DEST)</t>
  </si>
  <si>
    <t>Source Register/Data Bus (SRC)</t>
  </si>
  <si>
    <t>Microcode Addr:</t>
  </si>
  <si>
    <t xml:space="preserve">OPERAND </t>
  </si>
  <si>
    <t>ALU</t>
  </si>
  <si>
    <t>DEST</t>
  </si>
  <si>
    <t>SRC</t>
  </si>
  <si>
    <t/>
  </si>
  <si>
    <t>Clear</t>
  </si>
  <si>
    <t>W</t>
  </si>
  <si>
    <t>Affect</t>
  </si>
  <si>
    <t>Z</t>
  </si>
  <si>
    <t>NZ</t>
  </si>
  <si>
    <t>S</t>
  </si>
  <si>
    <t>NS</t>
  </si>
  <si>
    <t>O</t>
  </si>
  <si>
    <t>NO</t>
  </si>
  <si>
    <t>IO</t>
  </si>
  <si>
    <t>from DATA</t>
  </si>
  <si>
    <t>to X</t>
  </si>
  <si>
    <t>to Y</t>
  </si>
  <si>
    <t>MAR &lt; IP</t>
  </si>
  <si>
    <t>IR &lt; MDR</t>
  </si>
  <si>
    <t>IP &lt; RES</t>
  </si>
  <si>
    <t>MIP &lt; FetchAddr</t>
  </si>
  <si>
    <t>SEL &lt; MDR</t>
  </si>
  <si>
    <t>[SEL] &lt; RES</t>
  </si>
  <si>
    <t>MBR &lt; MDR</t>
  </si>
  <si>
    <t>SEL &lt; MBR</t>
  </si>
  <si>
    <t>SEL &lt; SPaddr</t>
  </si>
  <si>
    <t>MAR &lt; [SEL]</t>
  </si>
  <si>
    <t>MDR &lt; RES</t>
  </si>
  <si>
    <t>IP &lt; MBR</t>
  </si>
  <si>
    <t>IP &lt;MDR</t>
  </si>
  <si>
    <t>MDR &lt; IP</t>
  </si>
  <si>
    <t>MAR &lt; MBR</t>
  </si>
  <si>
    <t>IP &lt; MDR</t>
  </si>
  <si>
    <t>[SEL] &lt; MDR</t>
  </si>
  <si>
    <t>MAR &lt; MDR</t>
  </si>
  <si>
    <t>MDR &lt; [SEL]</t>
  </si>
  <si>
    <t>MBR &lt; [SEL]</t>
  </si>
  <si>
    <t>MDR &lt; MBR</t>
  </si>
  <si>
    <t>[SEL] &lt;MDR</t>
  </si>
  <si>
    <t>MDR &lt; SR</t>
  </si>
  <si>
    <t>SR &lt; MDR</t>
  </si>
  <si>
    <t>SEL &lt; ALaddr</t>
  </si>
  <si>
    <t>MBR &lt; RES</t>
  </si>
  <si>
    <t>SR &lt; MBR</t>
  </si>
  <si>
    <t>X &lt; IP</t>
  </si>
  <si>
    <t>feed IP value to X</t>
  </si>
  <si>
    <t>X &lt; [SEL]</t>
  </si>
  <si>
    <t>feed register value to X</t>
  </si>
  <si>
    <t>Y &lt; [SEL]</t>
  </si>
  <si>
    <t>feed first register value to Y</t>
  </si>
  <si>
    <t>X &lt; FF</t>
  </si>
  <si>
    <t>feed FF to X</t>
  </si>
  <si>
    <t>feed second register value to X</t>
  </si>
  <si>
    <t>Y &lt; RES</t>
  </si>
  <si>
    <t>X &lt; RES</t>
  </si>
  <si>
    <t>feed first register value to X</t>
  </si>
  <si>
    <t>feed second register value to Y</t>
  </si>
  <si>
    <t>X &lt; MBR</t>
  </si>
  <si>
    <t>feed constant to X</t>
  </si>
  <si>
    <t>feed register value to Y</t>
  </si>
  <si>
    <t>Y &lt; MBR</t>
  </si>
  <si>
    <t>feed constant to Y</t>
  </si>
  <si>
    <t>feed offset to X</t>
  </si>
  <si>
    <t>Y &lt; IP</t>
  </si>
  <si>
    <t>feed IP value to Y</t>
  </si>
  <si>
    <t>X &lt; 02</t>
  </si>
  <si>
    <t>feed 02 to X</t>
  </si>
  <si>
    <t>feed SP value to X</t>
  </si>
  <si>
    <t>Y &lt; MDR</t>
  </si>
  <si>
    <t>feed memory value to Y</t>
  </si>
  <si>
    <t>X &lt; 10</t>
  </si>
  <si>
    <t>feed mask to X</t>
  </si>
  <si>
    <t>Y &lt; SR</t>
  </si>
  <si>
    <t>feed SR value to Y</t>
  </si>
  <si>
    <t>X &lt; EF</t>
  </si>
  <si>
    <t>Enable</t>
  </si>
  <si>
    <t>MAR &lt; 02</t>
  </si>
  <si>
    <t>SEL &lt; SPAddr</t>
  </si>
  <si>
    <t>Dropdown Items</t>
  </si>
  <si>
    <t>0 .. 3</t>
  </si>
  <si>
    <t>CIF</t>
  </si>
  <si>
    <t>3 Nibbles (Hex)</t>
  </si>
  <si>
    <t>1 Nibble (Hex)</t>
  </si>
  <si>
    <t>"Empty"</t>
  </si>
  <si>
    <t>CLEAR</t>
  </si>
  <si>
    <t>NEXT</t>
  </si>
  <si>
    <t>DECODE</t>
  </si>
  <si>
    <t>EV</t>
  </si>
  <si>
    <t>Enable Value</t>
  </si>
  <si>
    <t>ENABLE</t>
  </si>
  <si>
    <t>Compacted to Hex Cipher/s</t>
  </si>
  <si>
    <t>"Hex value"</t>
  </si>
  <si>
    <t>'"Hex value"</t>
  </si>
  <si>
    <t>AF</t>
  </si>
  <si>
    <t>Affect Flag</t>
  </si>
  <si>
    <t>AFFECT</t>
  </si>
  <si>
    <t>Flag Criterion</t>
  </si>
  <si>
    <t>ALU Operation</t>
  </si>
  <si>
    <t xml:space="preserve">ROL    </t>
  </si>
  <si>
    <t xml:space="preserve">ROR    </t>
  </si>
  <si>
    <t xml:space="preserve">SHL    </t>
  </si>
  <si>
    <t xml:space="preserve">SHR    </t>
  </si>
  <si>
    <t xml:space="preserve">AND    </t>
  </si>
  <si>
    <t xml:space="preserve">NOT    </t>
  </si>
  <si>
    <t xml:space="preserve">XOR    </t>
  </si>
  <si>
    <t xml:space="preserve">OR     </t>
  </si>
  <si>
    <t xml:space="preserve">INC    </t>
  </si>
  <si>
    <t xml:space="preserve">DEC    </t>
  </si>
  <si>
    <t xml:space="preserve">MOD    </t>
  </si>
  <si>
    <t xml:space="preserve">DIV    </t>
  </si>
  <si>
    <t xml:space="preserve">MUL    </t>
  </si>
  <si>
    <t xml:space="preserve">SUB    </t>
  </si>
  <si>
    <t xml:space="preserve">ADD    </t>
  </si>
  <si>
    <t>0 .. F</t>
  </si>
  <si>
    <t>ROM1 Groups</t>
  </si>
  <si>
    <t>ROM2 Groups</t>
  </si>
  <si>
    <t>(repeated)</t>
  </si>
  <si>
    <t>Destination Register</t>
  </si>
  <si>
    <t xml:space="preserve">to IP   </t>
  </si>
  <si>
    <t xml:space="preserve">to IR   </t>
  </si>
  <si>
    <t xml:space="preserve">to MAR  </t>
  </si>
  <si>
    <t xml:space="preserve">to MBR  </t>
  </si>
  <si>
    <t xml:space="preserve">to MDR  </t>
  </si>
  <si>
    <t xml:space="preserve">to RES  </t>
  </si>
  <si>
    <t xml:space="preserve">to SEL  </t>
  </si>
  <si>
    <t xml:space="preserve">to SR   </t>
  </si>
  <si>
    <t xml:space="preserve">to X    </t>
  </si>
  <si>
    <t xml:space="preserve">to Y    </t>
  </si>
  <si>
    <t>Source Operation</t>
  </si>
  <si>
    <t xml:space="preserve">from DATA </t>
  </si>
  <si>
    <t xml:space="preserve">from IP   </t>
  </si>
  <si>
    <t xml:space="preserve">from MAR  </t>
  </si>
  <si>
    <t xml:space="preserve">from MBR  </t>
  </si>
  <si>
    <t xml:space="preserve">from MDR  </t>
  </si>
  <si>
    <t xml:space="preserve">from RES  </t>
  </si>
  <si>
    <t xml:space="preserve">from SR   </t>
  </si>
  <si>
    <t>Read/Write</t>
  </si>
  <si>
    <t>RW</t>
  </si>
  <si>
    <t>IOM</t>
  </si>
  <si>
    <t>IO/Mem</t>
  </si>
  <si>
    <t>Not used</t>
  </si>
  <si>
    <t>NU</t>
  </si>
  <si>
    <t>Meaning of the sheet columns and cell values. Organisation of nibbles for ROM1 and ROM2</t>
  </si>
  <si>
    <t>428</t>
  </si>
  <si>
    <t>to IR</t>
  </si>
  <si>
    <t>to IP</t>
  </si>
  <si>
    <t>Decode</t>
  </si>
  <si>
    <t>not used</t>
  </si>
  <si>
    <t>RES &lt; ALU(DEC)</t>
  </si>
  <si>
    <t xml:space="preserve">update IP: loop forever </t>
  </si>
  <si>
    <t>EXE1</t>
  </si>
  <si>
    <t>put register value onto address bus</t>
  </si>
  <si>
    <t>X &lt; MDR</t>
  </si>
  <si>
    <t>feed memory value to X</t>
  </si>
  <si>
    <t>increment value</t>
  </si>
  <si>
    <t>EXE2</t>
  </si>
  <si>
    <t>write result value into memory</t>
  </si>
  <si>
    <t>0x80</t>
  </si>
  <si>
    <t>INC |reg|</t>
  </si>
  <si>
    <t>Increment |reg|</t>
  </si>
  <si>
    <t>0xC7</t>
  </si>
  <si>
    <t>440</t>
  </si>
  <si>
    <t>Jump to address</t>
  </si>
  <si>
    <t>read address from data bus</t>
  </si>
  <si>
    <t>JPA absolute</t>
  </si>
  <si>
    <t>JPA   absolute</t>
  </si>
  <si>
    <t>0x81</t>
  </si>
  <si>
    <t>DEC |addr|</t>
  </si>
  <si>
    <t>Decrement |addr|</t>
  </si>
  <si>
    <t>448</t>
  </si>
  <si>
    <t>decrement value</t>
  </si>
  <si>
    <t>SWAP |addr|</t>
  </si>
  <si>
    <t>Swap nibbles at addr</t>
  </si>
  <si>
    <t>0x82</t>
  </si>
  <si>
    <t>460</t>
  </si>
  <si>
    <t>rotate right value</t>
  </si>
  <si>
    <t>write result to X</t>
  </si>
  <si>
    <t>0x83</t>
  </si>
  <si>
    <t>CLINC |reg|</t>
  </si>
  <si>
    <t>Clear |reg|, then increment reg</t>
  </si>
  <si>
    <t>478</t>
  </si>
  <si>
    <t>store register value into X</t>
  </si>
  <si>
    <t>X &lt; 00</t>
  </si>
  <si>
    <t>feed zero to X</t>
  </si>
  <si>
    <t>set RES to zero</t>
  </si>
  <si>
    <t>put old register value onto address bus</t>
  </si>
  <si>
    <t>0x10</t>
  </si>
  <si>
    <t>490</t>
  </si>
  <si>
    <t>Switch to next task</t>
  </si>
  <si>
    <t>EXE3</t>
  </si>
  <si>
    <t>003</t>
  </si>
  <si>
    <t>select DL</t>
  </si>
  <si>
    <t>SEL &lt; DLaddr</t>
  </si>
  <si>
    <t>store DL in MBR</t>
  </si>
  <si>
    <t>write DL register</t>
  </si>
  <si>
    <t>EXE4</t>
  </si>
  <si>
    <t>EXE5</t>
  </si>
  <si>
    <t>EXE6</t>
  </si>
  <si>
    <t>EXE7</t>
  </si>
  <si>
    <t>001</t>
  </si>
  <si>
    <t>select CL</t>
  </si>
  <si>
    <t>store CL in MBR</t>
  </si>
  <si>
    <t>select BL</t>
  </si>
  <si>
    <t>store BL in MBR</t>
  </si>
  <si>
    <t>write CL register</t>
  </si>
  <si>
    <t>write BL register</t>
  </si>
  <si>
    <t>store AL in MBR</t>
  </si>
  <si>
    <t>write AL register</t>
  </si>
  <si>
    <t>SEL &lt; BLaddr</t>
  </si>
  <si>
    <t>SEL &lt; CLaddr</t>
  </si>
  <si>
    <t>read from data bus</t>
  </si>
  <si>
    <t>EXE8</t>
  </si>
  <si>
    <t>EXE9</t>
  </si>
  <si>
    <t>EXE10</t>
  </si>
  <si>
    <t>EXE11</t>
  </si>
  <si>
    <t>EXE12</t>
  </si>
  <si>
    <t>EXE13</t>
  </si>
  <si>
    <t>EXE14</t>
  </si>
  <si>
    <t>EXE15</t>
  </si>
  <si>
    <t>put SP value onto data bus</t>
  </si>
  <si>
    <t>from MAR</t>
  </si>
  <si>
    <t>X &lt; MAR</t>
  </si>
  <si>
    <t>feed DL value to X</t>
  </si>
  <si>
    <t>increment DL value</t>
  </si>
  <si>
    <t>update DL</t>
  </si>
  <si>
    <t>[SEL]  &lt; MDR</t>
  </si>
  <si>
    <t>update AL</t>
  </si>
  <si>
    <t>feed 00 to X</t>
  </si>
  <si>
    <t>[SEL &lt; MDR</t>
  </si>
  <si>
    <t>EXE16</t>
  </si>
  <si>
    <t>EXE17</t>
  </si>
  <si>
    <t>decrement SP value; SP in RES</t>
  </si>
  <si>
    <t>MAR &lt; RES</t>
  </si>
  <si>
    <t>EXECUTE 1:    PUSHF</t>
  </si>
  <si>
    <t>EXECUTE 2:    PUSH  DL</t>
  </si>
  <si>
    <t>EXECUTE 5:    PUSH  AL</t>
  </si>
  <si>
    <t>put DL value onto address bus</t>
  </si>
  <si>
    <t>save SP in MBR</t>
  </si>
  <si>
    <t>EXECUTE 7:    MOV   [DL],SP        INCL   DL</t>
  </si>
  <si>
    <t>EXECUTE 8:    MOV   AL,[DL]        CMP   AL,00</t>
  </si>
  <si>
    <t>EXECUTE 10:    Next_Entry:        MOV   SP,[DL]</t>
  </si>
  <si>
    <t>put DL value onto data bus</t>
  </si>
  <si>
    <t>feed AL value to Y</t>
  </si>
  <si>
    <t>feed RES into X</t>
  </si>
  <si>
    <t>increment SP value for IRET</t>
  </si>
  <si>
    <t>feed [table address] to DL</t>
  </si>
  <si>
    <t>EXECUTE 4:    PUSH   BL</t>
  </si>
  <si>
    <t>EXECUTE 3:    PUSH   CL</t>
  </si>
  <si>
    <t>NEXT addr</t>
  </si>
  <si>
    <t>read table_address</t>
  </si>
  <si>
    <t>save table_address in MBR</t>
  </si>
  <si>
    <t>EXECUTE 6:    MOV   DL,[table_address]</t>
  </si>
  <si>
    <t>feed table_address into X</t>
  </si>
  <si>
    <t>calculate RES = table_address + 01</t>
  </si>
  <si>
    <t>feed table_address+1 into DL</t>
  </si>
  <si>
    <t>EXECUTE 11:    MOV   [table_address],DL</t>
  </si>
  <si>
    <t>put table_address onto address bus</t>
  </si>
  <si>
    <t>save table_address in Y</t>
  </si>
  <si>
    <t>feed Y=table_address to RES</t>
  </si>
  <si>
    <t>calculate X OR Y to set/reset Z</t>
  </si>
  <si>
    <t>EXECUTE 9: JNZ NextEntry    MOV DL,[table_address]+1</t>
  </si>
  <si>
    <t>EXECUTE 12:   POP   AL</t>
  </si>
  <si>
    <t>EXECUTE 13:    POP   BL</t>
  </si>
  <si>
    <t>EXECUTE 14:    POP   CL</t>
  </si>
  <si>
    <t>EXECUTE 15:    POP   DL</t>
  </si>
  <si>
    <t>EXECUTE 16:    POPF</t>
  </si>
  <si>
    <t>feed SR to Y</t>
  </si>
  <si>
    <t>set I-Flag</t>
  </si>
  <si>
    <t>SR &lt; RES</t>
  </si>
  <si>
    <t>save SR value n SR</t>
  </si>
  <si>
    <t>EXECUTE 17:    IRET, STI</t>
  </si>
  <si>
    <t>last change: version 4.0.8</t>
  </si>
  <si>
    <t>read hardware interrupt routine address from data bus</t>
  </si>
  <si>
    <t>INT1</t>
  </si>
  <si>
    <t>INT2</t>
  </si>
  <si>
    <t>INTERRUPT 1</t>
  </si>
  <si>
    <t>INTERRUPT 2</t>
  </si>
  <si>
    <t>EXECUTE 1</t>
  </si>
  <si>
    <t>EXECUTE 2</t>
  </si>
  <si>
    <t>DEC   [addr]</t>
  </si>
  <si>
    <t>INC   [reg]</t>
  </si>
  <si>
    <t>EXE if</t>
  </si>
  <si>
    <t>EXE else</t>
  </si>
  <si>
    <t>EXECUTE if</t>
  </si>
  <si>
    <t>EXECUTE else</t>
  </si>
  <si>
    <t>NEXT   addr</t>
  </si>
  <si>
    <t>CLINC   [reg]</t>
  </si>
  <si>
    <t>MOV   [addr],reg</t>
  </si>
  <si>
    <t>MUL   reg,const</t>
  </si>
  <si>
    <t>OR   reg,const</t>
  </si>
  <si>
    <t>OR   reg1,reg2</t>
  </si>
  <si>
    <t>OUT   addr</t>
  </si>
  <si>
    <t>POP   reg</t>
  </si>
  <si>
    <t>ROL   reg</t>
  </si>
  <si>
    <t>ROR   reg</t>
  </si>
  <si>
    <t>SHL   reg</t>
  </si>
  <si>
    <t>SHR   reg</t>
  </si>
  <si>
    <t>SUB   reg,const</t>
  </si>
  <si>
    <t>SUB   reg1,reg2</t>
  </si>
  <si>
    <t>SWAP   [addr]</t>
  </si>
  <si>
    <t>XOR   reg,const</t>
  </si>
  <si>
    <t>XOR   reg1,reg2</t>
  </si>
  <si>
    <t>0xD6</t>
  </si>
  <si>
    <t>520</t>
  </si>
  <si>
    <t>XCHG reg1,reg2</t>
  </si>
  <si>
    <t>Exchange register values</t>
  </si>
  <si>
    <t>0xD7</t>
  </si>
  <si>
    <t>538</t>
  </si>
  <si>
    <t>CPYD |reg|,const</t>
  </si>
  <si>
    <t>Copy from memory to memory plus displacement with auto-increment</t>
  </si>
  <si>
    <t>CPYD   [reg],const</t>
  </si>
  <si>
    <t>feed IP value to ALU</t>
  </si>
  <si>
    <t>read displacement from data bus</t>
  </si>
  <si>
    <t>feed displacement to ALU</t>
  </si>
  <si>
    <t>feed memory address to ALU</t>
  </si>
  <si>
    <t>calculate address plus displacement</t>
  </si>
  <si>
    <t>save to allow writing in next macrostep</t>
  </si>
  <si>
    <t>put new address plus  onto address bus</t>
  </si>
  <si>
    <t>write  saved value</t>
  </si>
  <si>
    <t>increment memory address</t>
  </si>
  <si>
    <t>update memory address in register</t>
  </si>
  <si>
    <t>MIP &lt; JumpAddr</t>
  </si>
  <si>
    <t>feed FF to ALU</t>
  </si>
  <si>
    <t>save second register value into MAR</t>
  </si>
  <si>
    <t>update second register</t>
  </si>
  <si>
    <t>[SEL] &lt; MAR</t>
  </si>
  <si>
    <t>last change: version 4.0.0</t>
  </si>
  <si>
    <t>last change: version 4.1.0</t>
  </si>
  <si>
    <t>last change: version 4.1.1</t>
  </si>
  <si>
    <t>last change: version 4.1.2</t>
  </si>
  <si>
    <t>last change: version 4.1.3</t>
  </si>
  <si>
    <t>Copyright © 2007 - 2017 Ruedi Müller, FHNW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</si>
</sst>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8"/>
      <name val="Calibri"/>
      <family val="2"/>
      <scheme val="minor"/>
    </font>
    <font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Up">
        <fgColor theme="5"/>
      </patternFill>
    </fill>
    <fill>
      <patternFill patternType="lightDown">
        <fgColor theme="6"/>
        <bgColor auto="1"/>
      </patternFill>
    </fill>
  </fills>
  <borders count="51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98">
    <xf numFmtId="0" fontId="0" fillId="0" borderId="0" xfId="0"/>
    <xf numFmtId="0" fontId="3" fillId="0" borderId="2" xfId="0" applyFont="1" applyBorder="1" applyAlignment="1"/>
    <xf numFmtId="0" fontId="0" fillId="0" borderId="0" xfId="0" applyFont="1"/>
    <xf numFmtId="0" fontId="0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6" fillId="0" borderId="0" xfId="0" applyFont="1"/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 wrapText="1"/>
    </xf>
    <xf numFmtId="49" fontId="8" fillId="0" borderId="0" xfId="0" applyNumberFormat="1" applyFont="1" applyAlignment="1">
      <alignment horizontal="left" vertical="top" wrapText="1"/>
    </xf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vertical="top" wrapText="1"/>
    </xf>
    <xf numFmtId="0" fontId="4" fillId="0" borderId="0" xfId="0" applyFont="1"/>
    <xf numFmtId="49" fontId="4" fillId="0" borderId="0" xfId="0" applyNumberFormat="1" applyFont="1" applyAlignment="1">
      <alignment horizontal="left"/>
    </xf>
    <xf numFmtId="49" fontId="1" fillId="2" borderId="21" xfId="0" applyNumberFormat="1" applyFont="1" applyFill="1" applyBorder="1" applyAlignment="1">
      <alignment horizontal="left" vertical="top" wrapText="1"/>
    </xf>
    <xf numFmtId="0" fontId="0" fillId="0" borderId="15" xfId="0" applyBorder="1"/>
    <xf numFmtId="0" fontId="0" fillId="0" borderId="15" xfId="0" applyBorder="1" applyAlignment="1">
      <alignment horizontal="left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3" borderId="22" xfId="0" applyFill="1" applyBorder="1"/>
    <xf numFmtId="0" fontId="0" fillId="3" borderId="22" xfId="0" applyFill="1" applyBorder="1" applyAlignment="1">
      <alignment horizontal="left"/>
    </xf>
    <xf numFmtId="0" fontId="0" fillId="3" borderId="23" xfId="0" applyFill="1" applyBorder="1"/>
    <xf numFmtId="0" fontId="0" fillId="3" borderId="19" xfId="0" applyFill="1" applyBorder="1"/>
    <xf numFmtId="49" fontId="0" fillId="4" borderId="25" xfId="0" applyNumberFormat="1" applyFill="1" applyBorder="1" applyAlignment="1">
      <alignment horizontal="left"/>
    </xf>
    <xf numFmtId="0" fontId="0" fillId="4" borderId="25" xfId="0" applyFill="1" applyBorder="1"/>
    <xf numFmtId="0" fontId="0" fillId="4" borderId="25" xfId="0" applyFill="1" applyBorder="1" applyAlignment="1">
      <alignment horizontal="center" wrapText="1"/>
    </xf>
    <xf numFmtId="49" fontId="0" fillId="4" borderId="27" xfId="0" applyNumberFormat="1" applyFill="1" applyBorder="1" applyAlignment="1">
      <alignment horizontal="left"/>
    </xf>
    <xf numFmtId="0" fontId="0" fillId="4" borderId="27" xfId="0" applyFill="1" applyBorder="1"/>
    <xf numFmtId="0" fontId="0" fillId="4" borderId="27" xfId="0" applyFill="1" applyBorder="1" applyAlignment="1">
      <alignment horizontal="center" wrapText="1"/>
    </xf>
    <xf numFmtId="2" fontId="0" fillId="4" borderId="6" xfId="0" applyNumberFormat="1" applyFill="1" applyBorder="1"/>
    <xf numFmtId="2" fontId="0" fillId="4" borderId="28" xfId="0" applyNumberFormat="1" applyFill="1" applyBorder="1"/>
    <xf numFmtId="0" fontId="10" fillId="0" borderId="29" xfId="0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49" fontId="1" fillId="2" borderId="26" xfId="0" applyNumberFormat="1" applyFont="1" applyFill="1" applyBorder="1" applyAlignment="1">
      <alignment vertical="top" wrapText="1"/>
    </xf>
    <xf numFmtId="0" fontId="10" fillId="0" borderId="31" xfId="0" applyFont="1" applyBorder="1" applyAlignment="1">
      <alignment vertical="center" wrapText="1"/>
    </xf>
    <xf numFmtId="0" fontId="10" fillId="0" borderId="20" xfId="0" applyFont="1" applyBorder="1" applyAlignment="1">
      <alignment vertical="center" wrapText="1"/>
    </xf>
    <xf numFmtId="49" fontId="0" fillId="4" borderId="8" xfId="0" applyNumberFormat="1" applyFill="1" applyBorder="1"/>
    <xf numFmtId="49" fontId="0" fillId="4" borderId="32" xfId="0" applyNumberFormat="1" applyFill="1" applyBorder="1"/>
    <xf numFmtId="0" fontId="10" fillId="0" borderId="33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0" fillId="4" borderId="8" xfId="0" applyFill="1" applyBorder="1" applyAlignment="1">
      <alignment horizontal="center" wrapText="1"/>
    </xf>
    <xf numFmtId="0" fontId="0" fillId="4" borderId="32" xfId="0" applyFill="1" applyBorder="1" applyAlignment="1">
      <alignment horizontal="center" wrapText="1"/>
    </xf>
    <xf numFmtId="49" fontId="10" fillId="0" borderId="31" xfId="0" applyNumberFormat="1" applyFont="1" applyBorder="1" applyAlignment="1">
      <alignment vertical="center" wrapText="1"/>
    </xf>
    <xf numFmtId="49" fontId="10" fillId="0" borderId="20" xfId="0" applyNumberFormat="1" applyFont="1" applyBorder="1" applyAlignment="1">
      <alignment vertical="center" wrapText="1"/>
    </xf>
    <xf numFmtId="49" fontId="1" fillId="2" borderId="26" xfId="0" applyNumberFormat="1" applyFont="1" applyFill="1" applyBorder="1" applyAlignment="1">
      <alignment horizontal="center" vertical="top" wrapText="1"/>
    </xf>
    <xf numFmtId="0" fontId="10" fillId="0" borderId="31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49" fontId="1" fillId="2" borderId="34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horizontal="left" vertical="top" wrapText="1"/>
    </xf>
    <xf numFmtId="0" fontId="3" fillId="0" borderId="0" xfId="0" applyFont="1" applyBorder="1" applyAlignment="1"/>
    <xf numFmtId="49" fontId="8" fillId="0" borderId="0" xfId="0" applyNumberFormat="1" applyFont="1" applyBorder="1" applyAlignment="1">
      <alignment horizontal="left" vertical="top" wrapText="1"/>
    </xf>
    <xf numFmtId="0" fontId="0" fillId="0" borderId="0" xfId="0" applyFont="1" applyBorder="1"/>
    <xf numFmtId="49" fontId="3" fillId="0" borderId="0" xfId="0" applyNumberFormat="1" applyFont="1" applyBorder="1" applyAlignment="1"/>
    <xf numFmtId="49" fontId="0" fillId="0" borderId="0" xfId="0" applyNumberFormat="1" applyFont="1" applyAlignment="1">
      <alignment horizontal="left"/>
    </xf>
    <xf numFmtId="0" fontId="0" fillId="5" borderId="0" xfId="0" applyFont="1" applyFill="1"/>
    <xf numFmtId="0" fontId="2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right"/>
    </xf>
    <xf numFmtId="49" fontId="11" fillId="5" borderId="14" xfId="0" applyNumberFormat="1" applyFont="1" applyFill="1" applyBorder="1" applyAlignment="1">
      <alignment horizontal="center"/>
    </xf>
    <xf numFmtId="49" fontId="11" fillId="5" borderId="18" xfId="0" applyNumberFormat="1" applyFont="1" applyFill="1" applyBorder="1" applyAlignment="1">
      <alignment horizontal="center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49" fontId="0" fillId="5" borderId="35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6" xfId="0" applyNumberFormat="1" applyFont="1" applyFill="1" applyBorder="1" applyAlignment="1">
      <alignment horizontal="left" indent="1"/>
    </xf>
    <xf numFmtId="49" fontId="0" fillId="5" borderId="38" xfId="0" applyNumberFormat="1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49" fontId="0" fillId="5" borderId="41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" fillId="2" borderId="4" xfId="0" applyNumberFormat="1" applyFont="1" applyFill="1" applyBorder="1" applyAlignment="1">
      <alignment horizontal="left" indent="1"/>
    </xf>
    <xf numFmtId="0" fontId="0" fillId="2" borderId="5" xfId="0" applyFont="1" applyFill="1" applyBorder="1" applyAlignment="1">
      <alignment horizontal="left" indent="1"/>
    </xf>
    <xf numFmtId="49" fontId="0" fillId="2" borderId="5" xfId="0" applyNumberFormat="1" applyFont="1" applyFill="1" applyBorder="1" applyAlignment="1">
      <alignment horizontal="left" indent="1"/>
    </xf>
    <xf numFmtId="0" fontId="0" fillId="2" borderId="26" xfId="0" applyFont="1" applyFill="1" applyBorder="1" applyAlignment="1">
      <alignment horizontal="left" indent="1"/>
    </xf>
    <xf numFmtId="49" fontId="1" fillId="2" borderId="46" xfId="0" applyNumberFormat="1" applyFont="1" applyFill="1" applyBorder="1" applyAlignment="1">
      <alignment horizontal="left" indent="1"/>
    </xf>
    <xf numFmtId="0" fontId="3" fillId="0" borderId="2" xfId="0" applyFont="1" applyBorder="1" applyAlignment="1">
      <alignment vertical="center"/>
    </xf>
    <xf numFmtId="0" fontId="12" fillId="6" borderId="43" xfId="0" applyFont="1" applyFill="1" applyBorder="1" applyAlignment="1">
      <alignment horizontal="center" vertical="center" textRotation="90"/>
    </xf>
    <xf numFmtId="0" fontId="5" fillId="6" borderId="44" xfId="0" applyFont="1" applyFill="1" applyBorder="1" applyAlignment="1">
      <alignment horizontal="center" vertical="center" textRotation="90"/>
    </xf>
    <xf numFmtId="49" fontId="2" fillId="6" borderId="44" xfId="0" applyNumberFormat="1" applyFont="1" applyFill="1" applyBorder="1" applyAlignment="1">
      <alignment horizontal="center" vertical="center" textRotation="90" wrapText="1"/>
    </xf>
    <xf numFmtId="0" fontId="5" fillId="6" borderId="45" xfId="0" applyFont="1" applyFill="1" applyBorder="1" applyAlignment="1">
      <alignment horizontal="center" vertical="center" textRotation="90"/>
    </xf>
    <xf numFmtId="0" fontId="14" fillId="6" borderId="37" xfId="0" applyFont="1" applyFill="1" applyBorder="1" applyAlignment="1">
      <alignment horizontal="center" vertical="center" textRotation="90"/>
    </xf>
    <xf numFmtId="0" fontId="5" fillId="6" borderId="3" xfId="0" applyFont="1" applyFill="1" applyBorder="1" applyAlignment="1">
      <alignment horizontal="center" vertical="center" textRotation="90"/>
    </xf>
    <xf numFmtId="0" fontId="3" fillId="2" borderId="1" xfId="0" applyFont="1" applyFill="1" applyBorder="1" applyAlignment="1">
      <alignment horizontal="left" vertical="center" indent="1"/>
    </xf>
    <xf numFmtId="0" fontId="3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 indent="2"/>
    </xf>
    <xf numFmtId="0" fontId="7" fillId="2" borderId="3" xfId="0" applyFont="1" applyFill="1" applyBorder="1" applyAlignment="1">
      <alignment horizontal="right" vertical="center" indent="1"/>
    </xf>
    <xf numFmtId="49" fontId="0" fillId="5" borderId="47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49" xfId="0" applyNumberFormat="1" applyFont="1" applyFill="1" applyBorder="1" applyAlignment="1">
      <alignment horizontal="left" indent="1"/>
    </xf>
    <xf numFmtId="2" fontId="4" fillId="2" borderId="2" xfId="0" applyNumberFormat="1" applyFont="1" applyFill="1" applyBorder="1" applyAlignment="1">
      <alignment vertical="center"/>
    </xf>
    <xf numFmtId="49" fontId="0" fillId="0" borderId="0" xfId="0" applyNumberFormat="1" applyFont="1" applyAlignment="1">
      <alignment horizontal="right"/>
    </xf>
    <xf numFmtId="1" fontId="3" fillId="0" borderId="2" xfId="0" applyNumberFormat="1" applyFont="1" applyBorder="1" applyAlignment="1">
      <alignment vertical="center"/>
    </xf>
    <xf numFmtId="1" fontId="0" fillId="0" borderId="0" xfId="0" applyNumberFormat="1" applyFont="1" applyAlignment="1">
      <alignment horizontal="right"/>
    </xf>
    <xf numFmtId="1" fontId="0" fillId="0" borderId="0" xfId="0" applyNumberFormat="1" applyFont="1"/>
    <xf numFmtId="0" fontId="0" fillId="0" borderId="15" xfId="0" quotePrefix="1" applyBorder="1"/>
    <xf numFmtId="0" fontId="0" fillId="7" borderId="24" xfId="0" applyFill="1" applyBorder="1"/>
    <xf numFmtId="0" fontId="0" fillId="7" borderId="15" xfId="0" applyFill="1" applyBorder="1"/>
    <xf numFmtId="0" fontId="0" fillId="8" borderId="22" xfId="0" applyFill="1" applyBorder="1"/>
    <xf numFmtId="0" fontId="0" fillId="8" borderId="15" xfId="0" applyFill="1" applyBorder="1"/>
    <xf numFmtId="0" fontId="15" fillId="3" borderId="22" xfId="0" applyFont="1" applyFill="1" applyBorder="1"/>
    <xf numFmtId="0" fontId="15" fillId="3" borderId="22" xfId="0" applyFont="1" applyFill="1" applyBorder="1" applyAlignment="1">
      <alignment horizontal="left"/>
    </xf>
    <xf numFmtId="0" fontId="15" fillId="8" borderId="22" xfId="0" applyFont="1" applyFill="1" applyBorder="1"/>
    <xf numFmtId="49" fontId="15" fillId="0" borderId="0" xfId="0" applyNumberFormat="1" applyFont="1" applyAlignment="1">
      <alignment horizontal="left"/>
    </xf>
    <xf numFmtId="0" fontId="15" fillId="0" borderId="0" xfId="0" applyFont="1"/>
    <xf numFmtId="0" fontId="15" fillId="3" borderId="23" xfId="0" applyFont="1" applyFill="1" applyBorder="1"/>
    <xf numFmtId="0" fontId="15" fillId="0" borderId="15" xfId="0" applyFont="1" applyBorder="1"/>
    <xf numFmtId="0" fontId="15" fillId="0" borderId="15" xfId="0" quotePrefix="1" applyFont="1" applyBorder="1"/>
    <xf numFmtId="0" fontId="15" fillId="0" borderId="15" xfId="0" applyFont="1" applyBorder="1" applyAlignment="1">
      <alignment horizontal="left"/>
    </xf>
    <xf numFmtId="0" fontId="15" fillId="8" borderId="15" xfId="0" applyFont="1" applyFill="1" applyBorder="1"/>
    <xf numFmtId="0" fontId="15" fillId="8" borderId="10" xfId="0" applyFont="1" applyFill="1" applyBorder="1"/>
    <xf numFmtId="0" fontId="4" fillId="0" borderId="0" xfId="0" applyFont="1" applyAlignment="1">
      <alignment horizontal="right"/>
    </xf>
    <xf numFmtId="0" fontId="0" fillId="0" borderId="0" xfId="0" quotePrefix="1" applyFont="1" applyAlignment="1">
      <alignment horizontal="left"/>
    </xf>
    <xf numFmtId="0" fontId="10" fillId="0" borderId="50" xfId="0" applyFont="1" applyBorder="1" applyAlignment="1">
      <alignment vertical="center" wrapText="1"/>
    </xf>
    <xf numFmtId="49" fontId="10" fillId="0" borderId="25" xfId="0" applyNumberFormat="1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0" fillId="0" borderId="25" xfId="0" applyFont="1" applyBorder="1" applyAlignment="1">
      <alignment horizontal="center" vertical="center" wrapTex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49" fontId="0" fillId="5" borderId="35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6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0" fontId="10" fillId="0" borderId="50" xfId="0" applyFont="1" applyBorder="1" applyAlignment="1">
      <alignment vertical="center" wrapText="1"/>
    </xf>
    <xf numFmtId="49" fontId="10" fillId="0" borderId="25" xfId="0" applyNumberFormat="1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0" fillId="0" borderId="25" xfId="0" applyFont="1" applyBorder="1" applyAlignment="1">
      <alignment horizontal="center" vertical="center" wrapText="1"/>
    </xf>
    <xf numFmtId="0" fontId="0" fillId="0" borderId="0" xfId="0" applyFont="1"/>
    <xf numFmtId="0" fontId="0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6" fillId="0" borderId="0" xfId="0" applyFont="1"/>
    <xf numFmtId="0" fontId="0" fillId="5" borderId="0" xfId="0" applyFont="1" applyFill="1"/>
    <xf numFmtId="0" fontId="2" fillId="0" borderId="0" xfId="0" applyFont="1" applyAlignment="1">
      <alignment horizontal="center" vertical="center" textRotation="90"/>
    </xf>
    <xf numFmtId="0" fontId="3" fillId="0" borderId="2" xfId="0" applyFont="1" applyBorder="1" applyAlignment="1">
      <alignment vertic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4" xfId="0" applyNumberFormat="1" applyFont="1" applyFill="1" applyBorder="1" applyAlignment="1">
      <alignment horizontal="left" indent="1"/>
    </xf>
    <xf numFmtId="0" fontId="0" fillId="2" borderId="5" xfId="0" applyFont="1" applyFill="1" applyBorder="1" applyAlignment="1">
      <alignment horizontal="left" indent="1"/>
    </xf>
    <xf numFmtId="49" fontId="0" fillId="2" borderId="5" xfId="0" applyNumberFormat="1" applyFont="1" applyFill="1" applyBorder="1" applyAlignment="1">
      <alignment horizontal="left" indent="1"/>
    </xf>
    <xf numFmtId="0" fontId="0" fillId="2" borderId="26" xfId="0" applyFont="1" applyFill="1" applyBorder="1" applyAlignment="1">
      <alignment horizontal="left" indent="1"/>
    </xf>
    <xf numFmtId="49" fontId="1" fillId="2" borderId="46" xfId="0" applyNumberFormat="1" applyFont="1" applyFill="1" applyBorder="1" applyAlignment="1">
      <alignment horizontal="left" indent="1"/>
    </xf>
    <xf numFmtId="0" fontId="12" fillId="6" borderId="43" xfId="0" applyFont="1" applyFill="1" applyBorder="1" applyAlignment="1">
      <alignment horizontal="center" vertical="center" textRotation="90"/>
    </xf>
    <xf numFmtId="0" fontId="5" fillId="6" borderId="44" xfId="0" applyFont="1" applyFill="1" applyBorder="1" applyAlignment="1">
      <alignment horizontal="center" vertical="center" textRotation="90"/>
    </xf>
    <xf numFmtId="49" fontId="2" fillId="6" borderId="44" xfId="0" applyNumberFormat="1" applyFont="1" applyFill="1" applyBorder="1" applyAlignment="1">
      <alignment horizontal="center" vertical="center" textRotation="90" wrapText="1"/>
    </xf>
    <xf numFmtId="0" fontId="5" fillId="6" borderId="45" xfId="0" applyFont="1" applyFill="1" applyBorder="1" applyAlignment="1">
      <alignment horizontal="center" vertical="center" textRotation="90"/>
    </xf>
    <xf numFmtId="0" fontId="14" fillId="6" borderId="37" xfId="0" applyFont="1" applyFill="1" applyBorder="1" applyAlignment="1">
      <alignment horizontal="center" vertical="center" textRotation="90"/>
    </xf>
    <xf numFmtId="0" fontId="5" fillId="6" borderId="3" xfId="0" applyFont="1" applyFill="1" applyBorder="1" applyAlignment="1">
      <alignment horizontal="center" vertical="center" textRotation="90"/>
    </xf>
    <xf numFmtId="0" fontId="3" fillId="2" borderId="1" xfId="0" applyFont="1" applyFill="1" applyBorder="1" applyAlignment="1">
      <alignment horizontal="left" vertical="center" indent="1"/>
    </xf>
    <xf numFmtId="0" fontId="3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 indent="2"/>
    </xf>
    <xf numFmtId="0" fontId="7" fillId="2" borderId="3" xfId="0" applyFont="1" applyFill="1" applyBorder="1" applyAlignment="1">
      <alignment horizontal="right" vertical="center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49" fontId="0" fillId="5" borderId="35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6" xfId="0" applyNumberFormat="1" applyFont="1" applyFill="1" applyBorder="1" applyAlignment="1">
      <alignment horizontal="left" indent="1"/>
    </xf>
    <xf numFmtId="49" fontId="0" fillId="5" borderId="38" xfId="0" applyNumberFormat="1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49" fontId="0" fillId="5" borderId="41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0" fontId="0" fillId="2" borderId="5" xfId="0" applyFont="1" applyFill="1" applyBorder="1" applyAlignment="1">
      <alignment horizontal="left" indent="1"/>
    </xf>
    <xf numFmtId="49" fontId="0" fillId="2" borderId="5" xfId="0" applyNumberFormat="1" applyFont="1" applyFill="1" applyBorder="1" applyAlignment="1">
      <alignment horizontal="left" indent="1"/>
    </xf>
    <xf numFmtId="0" fontId="0" fillId="2" borderId="26" xfId="0" applyFont="1" applyFill="1" applyBorder="1" applyAlignment="1">
      <alignment horizontal="left" indent="1"/>
    </xf>
    <xf numFmtId="49" fontId="1" fillId="2" borderId="46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0" fontId="0" fillId="0" borderId="0" xfId="0" applyFont="1"/>
    <xf numFmtId="0" fontId="0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6" fillId="0" borderId="0" xfId="0" applyFont="1"/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5" borderId="0" xfId="0" applyFont="1" applyFill="1"/>
    <xf numFmtId="0" fontId="2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right"/>
    </xf>
    <xf numFmtId="49" fontId="11" fillId="5" borderId="14" xfId="0" applyNumberFormat="1" applyFont="1" applyFill="1" applyBorder="1" applyAlignment="1">
      <alignment horizontal="center"/>
    </xf>
    <xf numFmtId="49" fontId="11" fillId="5" borderId="18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0" fontId="3" fillId="0" borderId="2" xfId="0" applyFont="1" applyBorder="1" applyAlignment="1">
      <alignment vertical="center"/>
    </xf>
    <xf numFmtId="49" fontId="1" fillId="2" borderId="4" xfId="0" applyNumberFormat="1" applyFont="1" applyFill="1" applyBorder="1" applyAlignment="1">
      <alignment horizontal="left" indent="1"/>
    </xf>
    <xf numFmtId="0" fontId="0" fillId="2" borderId="5" xfId="0" applyFont="1" applyFill="1" applyBorder="1" applyAlignment="1">
      <alignment horizontal="left" indent="1"/>
    </xf>
    <xf numFmtId="49" fontId="0" fillId="2" borderId="5" xfId="0" applyNumberFormat="1" applyFont="1" applyFill="1" applyBorder="1" applyAlignment="1">
      <alignment horizontal="left" indent="1"/>
    </xf>
    <xf numFmtId="0" fontId="0" fillId="2" borderId="26" xfId="0" applyFont="1" applyFill="1" applyBorder="1" applyAlignment="1">
      <alignment horizontal="left" indent="1"/>
    </xf>
    <xf numFmtId="49" fontId="1" fillId="2" borderId="46" xfId="0" applyNumberFormat="1" applyFont="1" applyFill="1" applyBorder="1" applyAlignment="1">
      <alignment horizontal="left" indent="1"/>
    </xf>
    <xf numFmtId="0" fontId="12" fillId="6" borderId="43" xfId="0" applyFont="1" applyFill="1" applyBorder="1" applyAlignment="1">
      <alignment horizontal="center" vertical="center" textRotation="90"/>
    </xf>
    <xf numFmtId="0" fontId="5" fillId="6" borderId="44" xfId="0" applyFont="1" applyFill="1" applyBorder="1" applyAlignment="1">
      <alignment horizontal="center" vertical="center" textRotation="90"/>
    </xf>
    <xf numFmtId="49" fontId="2" fillId="6" borderId="44" xfId="0" applyNumberFormat="1" applyFont="1" applyFill="1" applyBorder="1" applyAlignment="1">
      <alignment horizontal="center" vertical="center" textRotation="90" wrapText="1"/>
    </xf>
    <xf numFmtId="0" fontId="5" fillId="6" borderId="45" xfId="0" applyFont="1" applyFill="1" applyBorder="1" applyAlignment="1">
      <alignment horizontal="center" vertical="center" textRotation="90"/>
    </xf>
    <xf numFmtId="0" fontId="14" fillId="6" borderId="37" xfId="0" applyFont="1" applyFill="1" applyBorder="1" applyAlignment="1">
      <alignment horizontal="center" vertical="center" textRotation="90"/>
    </xf>
    <xf numFmtId="0" fontId="5" fillId="6" borderId="3" xfId="0" applyFont="1" applyFill="1" applyBorder="1" applyAlignment="1">
      <alignment horizontal="center" vertical="center" textRotation="90"/>
    </xf>
    <xf numFmtId="0" fontId="3" fillId="2" borderId="1" xfId="0" applyFont="1" applyFill="1" applyBorder="1" applyAlignment="1">
      <alignment horizontal="left" vertical="center" indent="1"/>
    </xf>
    <xf numFmtId="0" fontId="3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 indent="2"/>
    </xf>
    <xf numFmtId="0" fontId="7" fillId="2" borderId="3" xfId="0" applyFont="1" applyFill="1" applyBorder="1" applyAlignment="1">
      <alignment horizontal="right" vertical="center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49" fontId="0" fillId="5" borderId="35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6" xfId="0" applyNumberFormat="1" applyFont="1" applyFill="1" applyBorder="1" applyAlignment="1">
      <alignment horizontal="left" indent="1"/>
    </xf>
    <xf numFmtId="49" fontId="0" fillId="5" borderId="38" xfId="0" applyNumberFormat="1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49" fontId="0" fillId="5" borderId="41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0" fontId="0" fillId="2" borderId="5" xfId="0" applyFont="1" applyFill="1" applyBorder="1" applyAlignment="1">
      <alignment horizontal="left" indent="1"/>
    </xf>
    <xf numFmtId="49" fontId="0" fillId="2" borderId="5" xfId="0" applyNumberFormat="1" applyFont="1" applyFill="1" applyBorder="1" applyAlignment="1">
      <alignment horizontal="left" indent="1"/>
    </xf>
    <xf numFmtId="0" fontId="0" fillId="2" borderId="26" xfId="0" applyFont="1" applyFill="1" applyBorder="1" applyAlignment="1">
      <alignment horizontal="left" indent="1"/>
    </xf>
    <xf numFmtId="49" fontId="1" fillId="2" borderId="46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33CC"/>
      <color rgb="FFFFFF99"/>
      <color rgb="FF993300"/>
      <color rgb="FFF2F0F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556260</xdr:colOff>
          <xdr:row>2</xdr:row>
          <xdr:rowOff>15240</xdr:rowOff>
        </xdr:from>
        <xdr:to>
          <xdr:col>7</xdr:col>
          <xdr:colOff>15240</xdr:colOff>
          <xdr:row>4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CH" sz="14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152401</xdr:rowOff>
    </xdr:from>
    <xdr:to>
      <xdr:col>16</xdr:col>
      <xdr:colOff>74011</xdr:colOff>
      <xdr:row>42</xdr:row>
      <xdr:rowOff>130630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6315"/>
          <a:ext cx="12614354" cy="75655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777240</xdr:colOff>
          <xdr:row>2</xdr:row>
          <xdr:rowOff>15240</xdr:rowOff>
        </xdr:from>
        <xdr:to>
          <xdr:col>8</xdr:col>
          <xdr:colOff>396240</xdr:colOff>
          <xdr:row>2</xdr:row>
          <xdr:rowOff>381000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CH" sz="14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C000"/>
    <pageSetUpPr fitToPage="1"/>
  </sheetPr>
  <dimension ref="A1:I167"/>
  <sheetViews>
    <sheetView tabSelected="1" zoomScale="70" zoomScaleNormal="70" workbookViewId="0">
      <selection activeCell="G1" sqref="G1"/>
    </sheetView>
  </sheetViews>
  <sheetFormatPr baseColWidth="10" defaultColWidth="11.44140625" defaultRowHeight="14.4" x14ac:dyDescent="0.3"/>
  <cols>
    <col min="1" max="1" width="29" customWidth="1"/>
    <col min="2" max="2" width="12.88671875" customWidth="1"/>
    <col min="3" max="3" width="17" customWidth="1"/>
    <col min="4" max="4" width="9.6640625" customWidth="1"/>
    <col min="5" max="5" width="8.5546875" customWidth="1"/>
    <col min="6" max="6" width="10.33203125" customWidth="1"/>
    <col min="7" max="7" width="14.88671875" customWidth="1"/>
    <col min="8" max="9" width="11.44140625" style="14"/>
  </cols>
  <sheetData>
    <row r="1" spans="1:9" s="16" customFormat="1" ht="23.4" x14ac:dyDescent="0.45">
      <c r="A1" s="16" t="s">
        <v>282</v>
      </c>
      <c r="G1" s="123" t="s">
        <v>744</v>
      </c>
      <c r="H1" s="17"/>
      <c r="I1" s="17"/>
    </row>
    <row r="2" spans="1:9" x14ac:dyDescent="0.3">
      <c r="A2" t="s">
        <v>804</v>
      </c>
    </row>
    <row r="4" spans="1:9" s="2" customFormat="1" x14ac:dyDescent="0.3">
      <c r="A4" s="124" t="s">
        <v>615</v>
      </c>
      <c r="H4" s="59"/>
      <c r="I4" s="59"/>
    </row>
    <row r="5" spans="1:9" ht="15" thickBot="1" x14ac:dyDescent="0.35"/>
    <row r="6" spans="1:9" s="15" customFormat="1" ht="30" thickTop="1" thickBot="1" x14ac:dyDescent="0.35">
      <c r="A6" s="18" t="s">
        <v>587</v>
      </c>
      <c r="B6" s="18" t="s">
        <v>325</v>
      </c>
      <c r="C6" s="18" t="s">
        <v>551</v>
      </c>
      <c r="D6" s="18" t="s">
        <v>323</v>
      </c>
      <c r="E6" s="18" t="s">
        <v>321</v>
      </c>
      <c r="F6" s="18" t="s">
        <v>324</v>
      </c>
      <c r="G6" s="18" t="s">
        <v>563</v>
      </c>
    </row>
    <row r="7" spans="1:9" ht="15" thickTop="1" x14ac:dyDescent="0.3">
      <c r="A7" s="24" t="s">
        <v>283</v>
      </c>
      <c r="B7" s="24" t="s">
        <v>284</v>
      </c>
      <c r="C7" s="24"/>
      <c r="D7" s="25"/>
      <c r="E7" s="25">
        <v>12</v>
      </c>
      <c r="F7" s="25" t="s">
        <v>319</v>
      </c>
      <c r="G7" s="110" t="s">
        <v>554</v>
      </c>
    </row>
    <row r="8" spans="1:9" ht="15" thickBot="1" x14ac:dyDescent="0.35">
      <c r="A8" s="26"/>
      <c r="B8" s="19"/>
      <c r="C8" s="107" t="s">
        <v>564</v>
      </c>
      <c r="D8" s="20" t="s">
        <v>319</v>
      </c>
      <c r="E8" s="20"/>
      <c r="F8" s="20"/>
      <c r="G8" s="111"/>
    </row>
    <row r="9" spans="1:9" ht="15" thickTop="1" x14ac:dyDescent="0.3">
      <c r="A9" s="24" t="s">
        <v>285</v>
      </c>
      <c r="B9" s="24" t="s">
        <v>286</v>
      </c>
      <c r="C9" s="24"/>
      <c r="D9" s="25"/>
      <c r="E9" s="25">
        <v>2</v>
      </c>
      <c r="F9" s="25" t="s">
        <v>552</v>
      </c>
      <c r="G9" s="108" t="s">
        <v>555</v>
      </c>
    </row>
    <row r="10" spans="1:9" x14ac:dyDescent="0.3">
      <c r="A10" s="27"/>
      <c r="B10" s="21"/>
      <c r="C10" s="21" t="s">
        <v>558</v>
      </c>
      <c r="D10" s="22">
        <v>3</v>
      </c>
      <c r="E10" s="22"/>
      <c r="F10" s="22"/>
      <c r="G10" s="108"/>
    </row>
    <row r="11" spans="1:9" x14ac:dyDescent="0.3">
      <c r="A11" s="27"/>
      <c r="B11" s="21"/>
      <c r="C11" s="21" t="s">
        <v>559</v>
      </c>
      <c r="D11" s="22">
        <v>2</v>
      </c>
      <c r="E11" s="22"/>
      <c r="F11" s="22"/>
      <c r="G11" s="108"/>
    </row>
    <row r="12" spans="1:9" ht="15" thickBot="1" x14ac:dyDescent="0.35">
      <c r="A12" s="26"/>
      <c r="B12" s="19"/>
      <c r="C12" s="19" t="s">
        <v>2</v>
      </c>
      <c r="D12" s="20" t="s">
        <v>38</v>
      </c>
      <c r="E12" s="20"/>
      <c r="F12" s="20"/>
      <c r="G12" s="108"/>
    </row>
    <row r="13" spans="1:9" ht="15" thickTop="1" x14ac:dyDescent="0.3">
      <c r="A13" s="24" t="s">
        <v>290</v>
      </c>
      <c r="B13" s="24" t="s">
        <v>553</v>
      </c>
      <c r="C13" s="24"/>
      <c r="D13" s="25"/>
      <c r="E13" s="25">
        <v>1</v>
      </c>
      <c r="F13" s="25" t="s">
        <v>320</v>
      </c>
      <c r="G13" s="108"/>
    </row>
    <row r="14" spans="1:9" x14ac:dyDescent="0.3">
      <c r="A14" s="27"/>
      <c r="B14" s="21"/>
      <c r="C14" s="21" t="s">
        <v>557</v>
      </c>
      <c r="D14" s="22">
        <v>1</v>
      </c>
      <c r="E14" s="22"/>
      <c r="F14" s="22"/>
      <c r="G14" s="108"/>
    </row>
    <row r="15" spans="1:9" ht="15" thickBot="1" x14ac:dyDescent="0.35">
      <c r="A15" s="26"/>
      <c r="B15" s="19"/>
      <c r="C15" s="19" t="s">
        <v>556</v>
      </c>
      <c r="D15" s="20">
        <v>0</v>
      </c>
      <c r="E15" s="20"/>
      <c r="F15" s="20"/>
      <c r="G15" s="108"/>
    </row>
    <row r="16" spans="1:9" ht="15" thickTop="1" x14ac:dyDescent="0.3">
      <c r="A16" s="24" t="s">
        <v>561</v>
      </c>
      <c r="B16" s="24" t="s">
        <v>560</v>
      </c>
      <c r="C16" s="24"/>
      <c r="D16" s="25"/>
      <c r="E16" s="25">
        <v>1</v>
      </c>
      <c r="F16" s="25" t="s">
        <v>320</v>
      </c>
      <c r="G16" s="108"/>
    </row>
    <row r="17" spans="1:7" x14ac:dyDescent="0.3">
      <c r="A17" s="27"/>
      <c r="B17" s="21"/>
      <c r="C17" s="21" t="s">
        <v>562</v>
      </c>
      <c r="D17" s="22">
        <v>1</v>
      </c>
      <c r="E17" s="22"/>
      <c r="F17" s="22"/>
      <c r="G17" s="108"/>
    </row>
    <row r="18" spans="1:7" ht="15" thickBot="1" x14ac:dyDescent="0.35">
      <c r="A18" s="26"/>
      <c r="B18" s="19"/>
      <c r="C18" s="19" t="s">
        <v>556</v>
      </c>
      <c r="D18" s="20">
        <v>0</v>
      </c>
      <c r="E18" s="20"/>
      <c r="F18" s="20"/>
      <c r="G18" s="109"/>
    </row>
    <row r="19" spans="1:7" ht="15" thickTop="1" x14ac:dyDescent="0.3">
      <c r="A19" s="24" t="s">
        <v>288</v>
      </c>
      <c r="B19" s="24" t="s">
        <v>287</v>
      </c>
      <c r="C19" s="24"/>
      <c r="D19" s="25"/>
      <c r="E19" s="25">
        <v>12</v>
      </c>
      <c r="F19" s="25" t="s">
        <v>319</v>
      </c>
      <c r="G19" s="110" t="s">
        <v>554</v>
      </c>
    </row>
    <row r="20" spans="1:7" ht="15" thickBot="1" x14ac:dyDescent="0.35">
      <c r="A20" s="26"/>
      <c r="B20" s="19"/>
      <c r="C20" s="107" t="s">
        <v>565</v>
      </c>
      <c r="D20" s="20" t="s">
        <v>319</v>
      </c>
      <c r="E20" s="20"/>
      <c r="F20" s="20"/>
      <c r="G20" s="111"/>
    </row>
    <row r="21" spans="1:7" ht="15" thickTop="1" x14ac:dyDescent="0.3">
      <c r="A21" s="24" t="s">
        <v>567</v>
      </c>
      <c r="B21" s="24" t="s">
        <v>566</v>
      </c>
      <c r="C21" s="24"/>
      <c r="D21" s="25"/>
      <c r="E21" s="25">
        <v>1</v>
      </c>
      <c r="F21" s="25" t="s">
        <v>320</v>
      </c>
      <c r="G21" s="108" t="s">
        <v>555</v>
      </c>
    </row>
    <row r="22" spans="1:7" x14ac:dyDescent="0.3">
      <c r="A22" s="27"/>
      <c r="B22" s="21"/>
      <c r="C22" s="21" t="s">
        <v>568</v>
      </c>
      <c r="D22" s="22">
        <v>1</v>
      </c>
      <c r="E22" s="22"/>
      <c r="F22" s="22"/>
      <c r="G22" s="108"/>
    </row>
    <row r="23" spans="1:7" ht="15" thickBot="1" x14ac:dyDescent="0.35">
      <c r="A23" s="26"/>
      <c r="B23" s="19"/>
      <c r="C23" s="19" t="s">
        <v>556</v>
      </c>
      <c r="D23" s="20">
        <v>0</v>
      </c>
      <c r="E23" s="20"/>
      <c r="F23" s="20"/>
      <c r="G23" s="108"/>
    </row>
    <row r="24" spans="1:7" ht="15" thickTop="1" x14ac:dyDescent="0.3">
      <c r="A24" s="24" t="s">
        <v>569</v>
      </c>
      <c r="B24" s="24" t="s">
        <v>289</v>
      </c>
      <c r="C24" s="24"/>
      <c r="D24" s="25"/>
      <c r="E24" s="25">
        <v>3</v>
      </c>
      <c r="F24" s="25" t="s">
        <v>322</v>
      </c>
      <c r="G24" s="108"/>
    </row>
    <row r="25" spans="1:7" x14ac:dyDescent="0.3">
      <c r="A25" s="27"/>
      <c r="B25" s="21"/>
      <c r="C25" s="21" t="s">
        <v>482</v>
      </c>
      <c r="D25" s="22">
        <v>6</v>
      </c>
      <c r="E25" s="22"/>
      <c r="F25" s="22"/>
      <c r="G25" s="108"/>
    </row>
    <row r="26" spans="1:7" x14ac:dyDescent="0.3">
      <c r="A26" s="27"/>
      <c r="B26" s="21"/>
      <c r="C26" s="21" t="s">
        <v>484</v>
      </c>
      <c r="D26" s="22">
        <v>5</v>
      </c>
      <c r="E26" s="22"/>
      <c r="F26" s="22"/>
      <c r="G26" s="108"/>
    </row>
    <row r="27" spans="1:7" x14ac:dyDescent="0.3">
      <c r="A27" s="27"/>
      <c r="B27" s="21"/>
      <c r="C27" s="21" t="s">
        <v>480</v>
      </c>
      <c r="D27" s="22">
        <v>4</v>
      </c>
      <c r="E27" s="22"/>
      <c r="F27" s="22"/>
      <c r="G27" s="108"/>
    </row>
    <row r="28" spans="1:7" x14ac:dyDescent="0.3">
      <c r="A28" s="27"/>
      <c r="B28" s="21"/>
      <c r="C28" s="21" t="s">
        <v>483</v>
      </c>
      <c r="D28" s="22">
        <v>3</v>
      </c>
      <c r="E28" s="22"/>
      <c r="F28" s="22"/>
      <c r="G28" s="108"/>
    </row>
    <row r="29" spans="1:7" x14ac:dyDescent="0.3">
      <c r="A29" s="27"/>
      <c r="B29" s="21"/>
      <c r="C29" s="21" t="s">
        <v>485</v>
      </c>
      <c r="D29" s="22">
        <v>2</v>
      </c>
      <c r="E29" s="22"/>
      <c r="F29" s="22"/>
      <c r="G29" s="108"/>
    </row>
    <row r="30" spans="1:7" x14ac:dyDescent="0.3">
      <c r="A30" s="27"/>
      <c r="B30" s="21"/>
      <c r="C30" s="21" t="s">
        <v>481</v>
      </c>
      <c r="D30" s="22">
        <v>1</v>
      </c>
      <c r="E30" s="22"/>
      <c r="F30" s="22"/>
      <c r="G30" s="108"/>
    </row>
    <row r="31" spans="1:7" ht="15" thickBot="1" x14ac:dyDescent="0.35">
      <c r="A31" s="26"/>
      <c r="B31" s="19"/>
      <c r="C31" s="19" t="s">
        <v>556</v>
      </c>
      <c r="D31" s="20">
        <v>0</v>
      </c>
      <c r="E31" s="20"/>
      <c r="F31" s="20"/>
      <c r="G31" s="109"/>
    </row>
    <row r="32" spans="1:7" ht="30" thickTop="1" thickBot="1" x14ac:dyDescent="0.35">
      <c r="A32" s="18" t="s">
        <v>588</v>
      </c>
      <c r="B32" s="18" t="s">
        <v>325</v>
      </c>
      <c r="C32" s="18" t="s">
        <v>551</v>
      </c>
      <c r="D32" s="18" t="s">
        <v>323</v>
      </c>
      <c r="E32" s="18" t="s">
        <v>321</v>
      </c>
      <c r="F32" s="18" t="s">
        <v>324</v>
      </c>
      <c r="G32" s="18" t="s">
        <v>563</v>
      </c>
    </row>
    <row r="33" spans="1:9" s="116" customFormat="1" ht="15" thickTop="1" x14ac:dyDescent="0.3">
      <c r="A33" s="112" t="s">
        <v>283</v>
      </c>
      <c r="B33" s="112" t="s">
        <v>284</v>
      </c>
      <c r="C33" s="112"/>
      <c r="D33" s="113"/>
      <c r="E33" s="113">
        <v>12</v>
      </c>
      <c r="F33" s="113" t="s">
        <v>319</v>
      </c>
      <c r="G33" s="114" t="s">
        <v>554</v>
      </c>
      <c r="H33" s="115"/>
      <c r="I33" s="115"/>
    </row>
    <row r="34" spans="1:9" s="116" customFormat="1" ht="15" thickBot="1" x14ac:dyDescent="0.35">
      <c r="A34" s="117" t="s">
        <v>589</v>
      </c>
      <c r="B34" s="118"/>
      <c r="C34" s="119" t="s">
        <v>564</v>
      </c>
      <c r="D34" s="120" t="s">
        <v>319</v>
      </c>
      <c r="E34" s="120"/>
      <c r="F34" s="120"/>
      <c r="G34" s="121"/>
      <c r="H34" s="115"/>
      <c r="I34" s="115"/>
    </row>
    <row r="35" spans="1:9" ht="15" thickTop="1" x14ac:dyDescent="0.3">
      <c r="A35" s="24" t="s">
        <v>570</v>
      </c>
      <c r="B35" s="24" t="s">
        <v>473</v>
      </c>
      <c r="C35" s="24"/>
      <c r="D35" s="25"/>
      <c r="E35" s="25">
        <v>4</v>
      </c>
      <c r="F35" s="25" t="s">
        <v>586</v>
      </c>
      <c r="G35" s="108" t="s">
        <v>555</v>
      </c>
    </row>
    <row r="36" spans="1:9" x14ac:dyDescent="0.3">
      <c r="A36" s="27"/>
      <c r="B36" s="21"/>
      <c r="C36" s="21" t="s">
        <v>571</v>
      </c>
      <c r="D36" s="22">
        <v>15</v>
      </c>
      <c r="E36" s="22"/>
      <c r="F36" s="22"/>
      <c r="G36" s="108"/>
    </row>
    <row r="37" spans="1:9" x14ac:dyDescent="0.3">
      <c r="A37" s="27"/>
      <c r="B37" s="21"/>
      <c r="C37" s="21" t="s">
        <v>572</v>
      </c>
      <c r="D37" s="22">
        <v>14</v>
      </c>
      <c r="E37" s="22"/>
      <c r="F37" s="22"/>
      <c r="G37" s="108"/>
    </row>
    <row r="38" spans="1:9" x14ac:dyDescent="0.3">
      <c r="A38" s="27"/>
      <c r="B38" s="21"/>
      <c r="C38" s="21" t="s">
        <v>573</v>
      </c>
      <c r="D38" s="22">
        <v>13</v>
      </c>
      <c r="E38" s="22"/>
      <c r="F38" s="22"/>
      <c r="G38" s="108"/>
    </row>
    <row r="39" spans="1:9" x14ac:dyDescent="0.3">
      <c r="A39" s="27"/>
      <c r="B39" s="21"/>
      <c r="C39" s="21" t="s">
        <v>574</v>
      </c>
      <c r="D39" s="22">
        <v>12</v>
      </c>
      <c r="E39" s="22"/>
      <c r="F39" s="22"/>
      <c r="G39" s="108"/>
    </row>
    <row r="40" spans="1:9" x14ac:dyDescent="0.3">
      <c r="A40" s="27"/>
      <c r="B40" s="21"/>
      <c r="C40" s="21" t="s">
        <v>575</v>
      </c>
      <c r="D40" s="22">
        <v>11</v>
      </c>
      <c r="E40" s="22"/>
      <c r="F40" s="22"/>
      <c r="G40" s="108"/>
    </row>
    <row r="41" spans="1:9" x14ac:dyDescent="0.3">
      <c r="A41" s="27"/>
      <c r="B41" s="21"/>
      <c r="C41" s="21" t="s">
        <v>576</v>
      </c>
      <c r="D41" s="22">
        <v>10</v>
      </c>
      <c r="E41" s="22"/>
      <c r="F41" s="22"/>
      <c r="G41" s="108"/>
    </row>
    <row r="42" spans="1:9" x14ac:dyDescent="0.3">
      <c r="A42" s="27"/>
      <c r="B42" s="21"/>
      <c r="C42" s="21" t="s">
        <v>577</v>
      </c>
      <c r="D42" s="23">
        <v>9</v>
      </c>
      <c r="E42" s="23"/>
      <c r="F42" s="23"/>
      <c r="G42" s="108"/>
    </row>
    <row r="43" spans="1:9" x14ac:dyDescent="0.3">
      <c r="A43" s="27"/>
      <c r="B43" s="21"/>
      <c r="C43" s="21" t="s">
        <v>578</v>
      </c>
      <c r="D43" s="22">
        <v>8</v>
      </c>
      <c r="E43" s="22"/>
      <c r="F43" s="22"/>
      <c r="G43" s="108"/>
    </row>
    <row r="44" spans="1:9" x14ac:dyDescent="0.3">
      <c r="A44" s="27"/>
      <c r="B44" s="21"/>
      <c r="C44" s="21" t="s">
        <v>579</v>
      </c>
      <c r="D44" s="22">
        <v>7</v>
      </c>
      <c r="E44" s="22"/>
      <c r="F44" s="22"/>
      <c r="G44" s="108"/>
    </row>
    <row r="45" spans="1:9" x14ac:dyDescent="0.3">
      <c r="A45" s="27"/>
      <c r="B45" s="21"/>
      <c r="C45" s="21" t="s">
        <v>580</v>
      </c>
      <c r="D45" s="22">
        <v>6</v>
      </c>
      <c r="E45" s="22"/>
      <c r="F45" s="22"/>
      <c r="G45" s="108"/>
    </row>
    <row r="46" spans="1:9" x14ac:dyDescent="0.3">
      <c r="A46" s="27"/>
      <c r="B46" s="21"/>
      <c r="C46" s="21" t="s">
        <v>581</v>
      </c>
      <c r="D46" s="22">
        <v>5</v>
      </c>
      <c r="E46" s="22"/>
      <c r="F46" s="22"/>
      <c r="G46" s="108"/>
    </row>
    <row r="47" spans="1:9" x14ac:dyDescent="0.3">
      <c r="A47" s="27"/>
      <c r="B47" s="21"/>
      <c r="C47" s="21" t="s">
        <v>582</v>
      </c>
      <c r="D47" s="22">
        <v>4</v>
      </c>
      <c r="E47" s="22"/>
      <c r="F47" s="22"/>
      <c r="G47" s="108"/>
    </row>
    <row r="48" spans="1:9" x14ac:dyDescent="0.3">
      <c r="A48" s="27"/>
      <c r="B48" s="21"/>
      <c r="C48" s="21" t="s">
        <v>583</v>
      </c>
      <c r="D48" s="22">
        <v>3</v>
      </c>
      <c r="E48" s="22"/>
      <c r="F48" s="22"/>
      <c r="G48" s="108"/>
    </row>
    <row r="49" spans="1:7" x14ac:dyDescent="0.3">
      <c r="A49" s="27"/>
      <c r="B49" s="21"/>
      <c r="C49" s="21" t="s">
        <v>584</v>
      </c>
      <c r="D49" s="22">
        <v>2</v>
      </c>
      <c r="E49" s="22"/>
      <c r="F49" s="22"/>
      <c r="G49" s="108"/>
    </row>
    <row r="50" spans="1:7" x14ac:dyDescent="0.3">
      <c r="A50" s="27"/>
      <c r="B50" s="21"/>
      <c r="C50" s="21" t="s">
        <v>585</v>
      </c>
      <c r="D50" s="22">
        <v>1</v>
      </c>
      <c r="E50" s="22"/>
      <c r="F50" s="22"/>
      <c r="G50" s="108"/>
    </row>
    <row r="51" spans="1:7" ht="15" thickBot="1" x14ac:dyDescent="0.35">
      <c r="A51" s="26"/>
      <c r="B51" s="21"/>
      <c r="C51" s="19" t="s">
        <v>556</v>
      </c>
      <c r="D51" s="20">
        <v>0</v>
      </c>
      <c r="E51" s="20"/>
      <c r="F51" s="20"/>
      <c r="G51" s="109"/>
    </row>
    <row r="52" spans="1:7" ht="15" thickTop="1" x14ac:dyDescent="0.3">
      <c r="A52" s="24" t="s">
        <v>590</v>
      </c>
      <c r="B52" s="24" t="s">
        <v>474</v>
      </c>
      <c r="C52" s="24"/>
      <c r="D52" s="25"/>
      <c r="E52" s="25">
        <v>4</v>
      </c>
      <c r="F52" s="25" t="s">
        <v>586</v>
      </c>
      <c r="G52" s="110" t="s">
        <v>555</v>
      </c>
    </row>
    <row r="53" spans="1:7" x14ac:dyDescent="0.3">
      <c r="A53" s="27"/>
      <c r="B53" s="21"/>
      <c r="C53" s="21" t="s">
        <v>591</v>
      </c>
      <c r="D53" s="22">
        <v>11</v>
      </c>
      <c r="E53" s="22"/>
      <c r="F53" s="22"/>
      <c r="G53" s="122"/>
    </row>
    <row r="54" spans="1:7" x14ac:dyDescent="0.3">
      <c r="A54" s="27"/>
      <c r="B54" s="21"/>
      <c r="C54" s="21" t="s">
        <v>592</v>
      </c>
      <c r="D54" s="22">
        <v>10</v>
      </c>
      <c r="E54" s="22"/>
      <c r="F54" s="22"/>
      <c r="G54" s="122"/>
    </row>
    <row r="55" spans="1:7" x14ac:dyDescent="0.3">
      <c r="A55" s="27"/>
      <c r="B55" s="21"/>
      <c r="C55" s="21" t="s">
        <v>593</v>
      </c>
      <c r="D55" s="22">
        <v>9</v>
      </c>
      <c r="E55" s="22"/>
      <c r="F55" s="22"/>
      <c r="G55" s="122"/>
    </row>
    <row r="56" spans="1:7" x14ac:dyDescent="0.3">
      <c r="A56" s="27"/>
      <c r="B56" s="21"/>
      <c r="C56" s="21" t="s">
        <v>594</v>
      </c>
      <c r="D56" s="22">
        <v>8</v>
      </c>
      <c r="E56" s="22"/>
      <c r="F56" s="22"/>
      <c r="G56" s="122"/>
    </row>
    <row r="57" spans="1:7" x14ac:dyDescent="0.3">
      <c r="A57" s="27"/>
      <c r="B57" s="21"/>
      <c r="C57" s="21" t="s">
        <v>595</v>
      </c>
      <c r="D57" s="22">
        <v>7</v>
      </c>
      <c r="E57" s="22"/>
      <c r="F57" s="22"/>
      <c r="G57" s="122"/>
    </row>
    <row r="58" spans="1:7" x14ac:dyDescent="0.3">
      <c r="A58" s="27"/>
      <c r="B58" s="21"/>
      <c r="C58" s="21" t="s">
        <v>596</v>
      </c>
      <c r="D58" s="22">
        <v>6</v>
      </c>
      <c r="E58" s="22"/>
      <c r="F58" s="22"/>
      <c r="G58" s="122"/>
    </row>
    <row r="59" spans="1:7" x14ac:dyDescent="0.3">
      <c r="A59" s="27"/>
      <c r="B59" s="21"/>
      <c r="C59" s="21" t="s">
        <v>597</v>
      </c>
      <c r="D59" s="22">
        <v>5</v>
      </c>
      <c r="E59" s="22"/>
      <c r="F59" s="23"/>
      <c r="G59" s="122"/>
    </row>
    <row r="60" spans="1:7" x14ac:dyDescent="0.3">
      <c r="A60" s="27"/>
      <c r="B60" s="21"/>
      <c r="C60" s="21" t="s">
        <v>307</v>
      </c>
      <c r="D60" s="22">
        <v>4</v>
      </c>
      <c r="E60" s="22"/>
      <c r="F60" s="22"/>
      <c r="G60" s="122"/>
    </row>
    <row r="61" spans="1:7" x14ac:dyDescent="0.3">
      <c r="A61" s="27"/>
      <c r="B61" s="21"/>
      <c r="C61" s="21" t="s">
        <v>598</v>
      </c>
      <c r="D61" s="22">
        <v>3</v>
      </c>
      <c r="E61" s="22"/>
      <c r="F61" s="22"/>
      <c r="G61" s="122"/>
    </row>
    <row r="62" spans="1:7" x14ac:dyDescent="0.3">
      <c r="A62" s="27"/>
      <c r="B62" s="21"/>
      <c r="C62" s="21" t="s">
        <v>599</v>
      </c>
      <c r="D62" s="22">
        <v>2</v>
      </c>
      <c r="E62" s="22"/>
      <c r="F62" s="22"/>
      <c r="G62" s="122"/>
    </row>
    <row r="63" spans="1:7" x14ac:dyDescent="0.3">
      <c r="A63" s="27"/>
      <c r="B63" s="21"/>
      <c r="C63" s="21" t="s">
        <v>600</v>
      </c>
      <c r="D63" s="22">
        <v>1</v>
      </c>
      <c r="E63" s="22"/>
      <c r="F63" s="22"/>
      <c r="G63" s="122"/>
    </row>
    <row r="64" spans="1:7" ht="15" thickBot="1" x14ac:dyDescent="0.35">
      <c r="A64" s="26"/>
      <c r="B64" s="21"/>
      <c r="C64" s="19" t="s">
        <v>556</v>
      </c>
      <c r="D64" s="20">
        <v>0</v>
      </c>
      <c r="E64" s="20"/>
      <c r="F64" s="20"/>
      <c r="G64" s="121"/>
    </row>
    <row r="65" spans="1:7" ht="15" thickTop="1" x14ac:dyDescent="0.3">
      <c r="A65" s="24" t="s">
        <v>601</v>
      </c>
      <c r="B65" s="24" t="s">
        <v>475</v>
      </c>
      <c r="C65" s="24"/>
      <c r="D65" s="25"/>
      <c r="E65" s="25">
        <v>4</v>
      </c>
      <c r="F65" s="25" t="s">
        <v>586</v>
      </c>
      <c r="G65" s="108" t="s">
        <v>555</v>
      </c>
    </row>
    <row r="66" spans="1:7" x14ac:dyDescent="0.3">
      <c r="A66" s="27"/>
      <c r="B66" s="21"/>
      <c r="C66" s="21" t="s">
        <v>602</v>
      </c>
      <c r="D66" s="22">
        <v>12</v>
      </c>
      <c r="E66" s="22"/>
      <c r="F66" s="22"/>
      <c r="G66" s="108"/>
    </row>
    <row r="67" spans="1:7" x14ac:dyDescent="0.3">
      <c r="A67" s="27"/>
      <c r="B67" s="21"/>
      <c r="C67" s="21" t="s">
        <v>603</v>
      </c>
      <c r="D67" s="22">
        <v>11</v>
      </c>
      <c r="E67" s="22"/>
      <c r="F67" s="22"/>
      <c r="G67" s="108"/>
    </row>
    <row r="68" spans="1:7" x14ac:dyDescent="0.3">
      <c r="A68" s="27"/>
      <c r="B68" s="21"/>
      <c r="C68" s="21" t="s">
        <v>604</v>
      </c>
      <c r="D68" s="22">
        <v>9</v>
      </c>
      <c r="E68" s="22"/>
      <c r="F68" s="22"/>
      <c r="G68" s="108"/>
    </row>
    <row r="69" spans="1:7" x14ac:dyDescent="0.3">
      <c r="A69" s="27"/>
      <c r="B69" s="21"/>
      <c r="C69" s="21" t="s">
        <v>605</v>
      </c>
      <c r="D69" s="22">
        <v>8</v>
      </c>
      <c r="E69" s="22"/>
      <c r="F69" s="22"/>
      <c r="G69" s="108"/>
    </row>
    <row r="70" spans="1:7" x14ac:dyDescent="0.3">
      <c r="A70" s="27"/>
      <c r="B70" s="21"/>
      <c r="C70" s="21" t="s">
        <v>606</v>
      </c>
      <c r="D70" s="22">
        <v>7</v>
      </c>
      <c r="E70" s="22"/>
      <c r="F70" s="22"/>
      <c r="G70" s="108"/>
    </row>
    <row r="71" spans="1:7" x14ac:dyDescent="0.3">
      <c r="A71" s="27"/>
      <c r="B71" s="21"/>
      <c r="C71" s="21" t="s">
        <v>607</v>
      </c>
      <c r="D71" s="22">
        <v>6</v>
      </c>
      <c r="E71" s="22"/>
      <c r="F71" s="22"/>
      <c r="G71" s="108"/>
    </row>
    <row r="72" spans="1:7" x14ac:dyDescent="0.3">
      <c r="A72" s="27"/>
      <c r="B72" s="21"/>
      <c r="C72" s="21" t="s">
        <v>308</v>
      </c>
      <c r="D72" s="23">
        <v>4</v>
      </c>
      <c r="E72" s="23"/>
      <c r="F72" s="23"/>
      <c r="G72" s="108"/>
    </row>
    <row r="73" spans="1:7" x14ac:dyDescent="0.3">
      <c r="A73" s="27"/>
      <c r="B73" s="21"/>
      <c r="C73" s="21" t="s">
        <v>608</v>
      </c>
      <c r="D73" s="22">
        <v>3</v>
      </c>
      <c r="E73" s="22"/>
      <c r="F73" s="22"/>
      <c r="G73" s="108"/>
    </row>
    <row r="74" spans="1:7" ht="15" thickBot="1" x14ac:dyDescent="0.35">
      <c r="A74" s="26"/>
      <c r="B74" s="20"/>
      <c r="C74" s="19" t="s">
        <v>556</v>
      </c>
      <c r="D74" s="20">
        <v>0</v>
      </c>
      <c r="E74" s="20"/>
      <c r="F74" s="20"/>
      <c r="G74" s="109"/>
    </row>
    <row r="75" spans="1:7" ht="15" thickTop="1" x14ac:dyDescent="0.3">
      <c r="A75" s="24" t="s">
        <v>609</v>
      </c>
      <c r="B75" s="24" t="s">
        <v>610</v>
      </c>
      <c r="C75" s="24"/>
      <c r="D75" s="25"/>
      <c r="E75" s="25">
        <v>1</v>
      </c>
      <c r="F75" s="25" t="s">
        <v>320</v>
      </c>
      <c r="G75" s="110" t="s">
        <v>555</v>
      </c>
    </row>
    <row r="76" spans="1:7" x14ac:dyDescent="0.3">
      <c r="A76" s="27"/>
      <c r="B76" s="21"/>
      <c r="C76" s="21" t="s">
        <v>463</v>
      </c>
      <c r="D76" s="22">
        <v>1</v>
      </c>
      <c r="E76" s="22"/>
      <c r="F76" s="22"/>
      <c r="G76" s="122"/>
    </row>
    <row r="77" spans="1:7" ht="15" thickBot="1" x14ac:dyDescent="0.35">
      <c r="A77" s="26"/>
      <c r="B77" s="19"/>
      <c r="C77" s="19" t="s">
        <v>478</v>
      </c>
      <c r="D77" s="20">
        <v>0</v>
      </c>
      <c r="E77" s="20"/>
      <c r="F77" s="20"/>
      <c r="G77" s="122"/>
    </row>
    <row r="78" spans="1:7" ht="15" thickTop="1" x14ac:dyDescent="0.3">
      <c r="A78" s="24" t="s">
        <v>612</v>
      </c>
      <c r="B78" s="24" t="s">
        <v>611</v>
      </c>
      <c r="C78" s="24"/>
      <c r="D78" s="25"/>
      <c r="E78" s="25">
        <v>1</v>
      </c>
      <c r="F78" s="25" t="s">
        <v>320</v>
      </c>
      <c r="G78" s="122"/>
    </row>
    <row r="79" spans="1:7" x14ac:dyDescent="0.3">
      <c r="A79" s="27"/>
      <c r="B79" s="21"/>
      <c r="C79" s="21" t="s">
        <v>486</v>
      </c>
      <c r="D79" s="22">
        <v>1</v>
      </c>
      <c r="E79" s="22"/>
      <c r="F79" s="22"/>
      <c r="G79" s="122"/>
    </row>
    <row r="80" spans="1:7" ht="15" thickBot="1" x14ac:dyDescent="0.35">
      <c r="A80" s="26"/>
      <c r="B80" s="19"/>
      <c r="C80" s="19" t="s">
        <v>464</v>
      </c>
      <c r="D80" s="20">
        <v>0</v>
      </c>
      <c r="E80" s="20"/>
      <c r="F80" s="20"/>
      <c r="G80" s="122"/>
    </row>
    <row r="81" spans="1:7" ht="15" thickTop="1" x14ac:dyDescent="0.3">
      <c r="A81" s="24" t="s">
        <v>613</v>
      </c>
      <c r="B81" s="24" t="s">
        <v>614</v>
      </c>
      <c r="C81" s="24"/>
      <c r="D81" s="25"/>
      <c r="E81" s="25">
        <v>2</v>
      </c>
      <c r="F81" s="25"/>
      <c r="G81" s="122"/>
    </row>
    <row r="82" spans="1:7" ht="15" thickBot="1" x14ac:dyDescent="0.35">
      <c r="A82" s="26"/>
      <c r="B82" s="19"/>
      <c r="C82" s="19" t="s">
        <v>556</v>
      </c>
      <c r="D82" s="20"/>
      <c r="E82" s="20"/>
      <c r="F82" s="20"/>
      <c r="G82" s="111"/>
    </row>
    <row r="83" spans="1:7" ht="15" thickTop="1" x14ac:dyDescent="0.3">
      <c r="D83" s="14"/>
      <c r="E83" s="13"/>
      <c r="F83" s="12"/>
    </row>
    <row r="84" spans="1:7" x14ac:dyDescent="0.3">
      <c r="D84" s="14"/>
      <c r="E84" s="13"/>
      <c r="F84" s="12"/>
    </row>
    <row r="85" spans="1:7" x14ac:dyDescent="0.3">
      <c r="D85" s="14"/>
      <c r="E85" s="13"/>
      <c r="F85" s="12"/>
    </row>
    <row r="86" spans="1:7" x14ac:dyDescent="0.3">
      <c r="D86" s="14"/>
      <c r="E86" s="13"/>
      <c r="F86" s="12"/>
    </row>
    <row r="87" spans="1:7" x14ac:dyDescent="0.3">
      <c r="D87" s="14"/>
      <c r="E87" s="13"/>
      <c r="F87" s="12"/>
    </row>
    <row r="88" spans="1:7" x14ac:dyDescent="0.3">
      <c r="D88" s="14"/>
      <c r="E88" s="13"/>
      <c r="F88" s="12"/>
    </row>
    <row r="89" spans="1:7" x14ac:dyDescent="0.3">
      <c r="D89" s="14"/>
      <c r="E89" s="13"/>
      <c r="F89" s="12"/>
    </row>
    <row r="90" spans="1:7" x14ac:dyDescent="0.3">
      <c r="D90" s="14"/>
      <c r="E90" s="13"/>
      <c r="F90" s="12"/>
    </row>
    <row r="91" spans="1:7" x14ac:dyDescent="0.3">
      <c r="D91" s="14"/>
      <c r="E91" s="13"/>
      <c r="F91" s="12"/>
    </row>
    <row r="92" spans="1:7" x14ac:dyDescent="0.3">
      <c r="D92" s="14"/>
      <c r="E92" s="13"/>
      <c r="F92" s="12"/>
    </row>
    <row r="93" spans="1:7" x14ac:dyDescent="0.3">
      <c r="D93" s="14"/>
      <c r="E93" s="13"/>
      <c r="F93" s="12"/>
    </row>
    <row r="94" spans="1:7" x14ac:dyDescent="0.3">
      <c r="D94" s="14"/>
      <c r="E94" s="13"/>
      <c r="F94" s="12"/>
    </row>
    <row r="95" spans="1:7" x14ac:dyDescent="0.3">
      <c r="D95" s="14"/>
      <c r="E95" s="13"/>
      <c r="F95" s="12"/>
    </row>
    <row r="96" spans="1:7" x14ac:dyDescent="0.3">
      <c r="D96" s="14"/>
      <c r="E96" s="13"/>
      <c r="F96" s="12"/>
    </row>
    <row r="97" spans="4:6" x14ac:dyDescent="0.3">
      <c r="D97" s="14"/>
      <c r="E97" s="13"/>
      <c r="F97" s="12"/>
    </row>
    <row r="98" spans="4:6" x14ac:dyDescent="0.3">
      <c r="D98" s="14"/>
      <c r="E98" s="13"/>
      <c r="F98" s="12"/>
    </row>
    <row r="99" spans="4:6" x14ac:dyDescent="0.3">
      <c r="D99" s="14"/>
      <c r="E99" s="13"/>
      <c r="F99" s="12"/>
    </row>
    <row r="100" spans="4:6" x14ac:dyDescent="0.3">
      <c r="D100" s="14"/>
      <c r="E100" s="13"/>
      <c r="F100" s="12"/>
    </row>
    <row r="101" spans="4:6" x14ac:dyDescent="0.3">
      <c r="D101" s="14"/>
      <c r="E101" s="13"/>
      <c r="F101" s="12"/>
    </row>
    <row r="102" spans="4:6" x14ac:dyDescent="0.3">
      <c r="D102" s="14"/>
      <c r="E102" s="13"/>
      <c r="F102" s="12"/>
    </row>
    <row r="103" spans="4:6" x14ac:dyDescent="0.3">
      <c r="D103" s="14"/>
      <c r="E103" s="13"/>
      <c r="F103" s="12"/>
    </row>
    <row r="104" spans="4:6" x14ac:dyDescent="0.3">
      <c r="D104" s="14"/>
      <c r="E104" s="13"/>
      <c r="F104" s="12"/>
    </row>
    <row r="105" spans="4:6" x14ac:dyDescent="0.3">
      <c r="D105" s="14"/>
      <c r="E105" s="13"/>
      <c r="F105" s="12"/>
    </row>
    <row r="106" spans="4:6" x14ac:dyDescent="0.3">
      <c r="D106" s="14"/>
      <c r="E106" s="13"/>
      <c r="F106" s="12"/>
    </row>
    <row r="107" spans="4:6" x14ac:dyDescent="0.3">
      <c r="D107" s="14"/>
      <c r="E107" s="13"/>
      <c r="F107" s="12"/>
    </row>
    <row r="108" spans="4:6" x14ac:dyDescent="0.3">
      <c r="D108" s="14"/>
      <c r="E108" s="13"/>
      <c r="F108" s="12"/>
    </row>
    <row r="109" spans="4:6" x14ac:dyDescent="0.3">
      <c r="D109" s="14"/>
      <c r="E109" s="13"/>
      <c r="F109" s="12"/>
    </row>
    <row r="110" spans="4:6" x14ac:dyDescent="0.3">
      <c r="D110" s="14"/>
      <c r="E110" s="13"/>
      <c r="F110" s="12"/>
    </row>
    <row r="111" spans="4:6" x14ac:dyDescent="0.3">
      <c r="D111" s="14"/>
      <c r="E111" s="13"/>
      <c r="F111" s="12"/>
    </row>
    <row r="112" spans="4:6" x14ac:dyDescent="0.3">
      <c r="D112" s="14"/>
      <c r="E112" s="13"/>
      <c r="F112" s="12"/>
    </row>
    <row r="113" spans="4:6" x14ac:dyDescent="0.3">
      <c r="D113" s="14"/>
      <c r="E113" s="13"/>
      <c r="F113" s="12"/>
    </row>
    <row r="114" spans="4:6" x14ac:dyDescent="0.3">
      <c r="D114" s="14"/>
      <c r="E114" s="13"/>
      <c r="F114" s="12"/>
    </row>
    <row r="115" spans="4:6" x14ac:dyDescent="0.3">
      <c r="D115" s="14"/>
      <c r="E115" s="13"/>
      <c r="F115" s="12"/>
    </row>
    <row r="116" spans="4:6" x14ac:dyDescent="0.3">
      <c r="D116" s="14"/>
      <c r="E116" s="13"/>
      <c r="F116" s="12"/>
    </row>
    <row r="117" spans="4:6" x14ac:dyDescent="0.3">
      <c r="D117" s="14"/>
      <c r="E117" s="13"/>
      <c r="F117" s="12"/>
    </row>
    <row r="118" spans="4:6" x14ac:dyDescent="0.3">
      <c r="D118" s="14"/>
      <c r="E118" s="13"/>
      <c r="F118" s="12"/>
    </row>
    <row r="119" spans="4:6" x14ac:dyDescent="0.3">
      <c r="D119" s="14"/>
      <c r="E119" s="13"/>
      <c r="F119" s="12"/>
    </row>
    <row r="120" spans="4:6" x14ac:dyDescent="0.3">
      <c r="D120" s="14"/>
      <c r="E120" s="13"/>
      <c r="F120" s="12"/>
    </row>
    <row r="121" spans="4:6" x14ac:dyDescent="0.3">
      <c r="D121" s="14"/>
      <c r="E121" s="13"/>
      <c r="F121" s="12"/>
    </row>
    <row r="122" spans="4:6" x14ac:dyDescent="0.3">
      <c r="D122" s="14"/>
      <c r="E122" s="13"/>
      <c r="F122" s="12"/>
    </row>
    <row r="123" spans="4:6" x14ac:dyDescent="0.3">
      <c r="D123" s="14"/>
      <c r="E123" s="13"/>
      <c r="F123" s="12"/>
    </row>
    <row r="124" spans="4:6" x14ac:dyDescent="0.3">
      <c r="D124" s="14"/>
      <c r="E124" s="13"/>
      <c r="F124" s="12"/>
    </row>
    <row r="125" spans="4:6" x14ac:dyDescent="0.3">
      <c r="D125" s="14"/>
      <c r="E125" s="13"/>
      <c r="F125" s="12"/>
    </row>
    <row r="126" spans="4:6" x14ac:dyDescent="0.3">
      <c r="D126" s="14"/>
      <c r="E126" s="13"/>
      <c r="F126" s="12"/>
    </row>
    <row r="127" spans="4:6" x14ac:dyDescent="0.3">
      <c r="D127" s="14"/>
      <c r="E127" s="13"/>
      <c r="F127" s="12"/>
    </row>
    <row r="128" spans="4:6" x14ac:dyDescent="0.3">
      <c r="D128" s="14"/>
      <c r="E128" s="13"/>
      <c r="F128" s="12"/>
    </row>
    <row r="129" spans="4:6" x14ac:dyDescent="0.3">
      <c r="D129" s="14"/>
      <c r="E129" s="13"/>
      <c r="F129" s="12"/>
    </row>
    <row r="130" spans="4:6" x14ac:dyDescent="0.3">
      <c r="D130" s="14"/>
      <c r="E130" s="13"/>
      <c r="F130" s="12"/>
    </row>
    <row r="131" spans="4:6" x14ac:dyDescent="0.3">
      <c r="D131" s="14"/>
      <c r="E131" s="13"/>
      <c r="F131" s="12"/>
    </row>
    <row r="132" spans="4:6" x14ac:dyDescent="0.3">
      <c r="D132" s="14"/>
      <c r="E132" s="13"/>
      <c r="F132" s="12"/>
    </row>
    <row r="133" spans="4:6" x14ac:dyDescent="0.3">
      <c r="D133" s="14"/>
      <c r="E133" s="13"/>
      <c r="F133" s="12"/>
    </row>
    <row r="134" spans="4:6" x14ac:dyDescent="0.3">
      <c r="D134" s="14"/>
      <c r="E134" s="13"/>
      <c r="F134" s="12"/>
    </row>
    <row r="135" spans="4:6" x14ac:dyDescent="0.3">
      <c r="D135" s="14"/>
      <c r="E135" s="13"/>
      <c r="F135" s="12"/>
    </row>
    <row r="136" spans="4:6" x14ac:dyDescent="0.3">
      <c r="D136" s="14"/>
      <c r="E136" s="13"/>
      <c r="F136" s="12"/>
    </row>
    <row r="137" spans="4:6" x14ac:dyDescent="0.3">
      <c r="D137" s="14"/>
      <c r="E137" s="13"/>
      <c r="F137" s="12"/>
    </row>
    <row r="138" spans="4:6" x14ac:dyDescent="0.3">
      <c r="D138" s="14"/>
      <c r="E138" s="13"/>
      <c r="F138" s="12"/>
    </row>
    <row r="139" spans="4:6" x14ac:dyDescent="0.3">
      <c r="D139" s="14"/>
      <c r="E139" s="13"/>
      <c r="F139" s="12"/>
    </row>
    <row r="140" spans="4:6" x14ac:dyDescent="0.3">
      <c r="D140" s="14"/>
      <c r="E140" s="13"/>
      <c r="F140" s="12"/>
    </row>
    <row r="141" spans="4:6" x14ac:dyDescent="0.3">
      <c r="D141" s="14"/>
      <c r="E141" s="13"/>
      <c r="F141" s="12"/>
    </row>
    <row r="142" spans="4:6" x14ac:dyDescent="0.3">
      <c r="D142" s="14"/>
      <c r="E142" s="13"/>
      <c r="F142" s="12"/>
    </row>
    <row r="143" spans="4:6" x14ac:dyDescent="0.3">
      <c r="D143" s="14"/>
      <c r="E143" s="13"/>
      <c r="F143" s="12"/>
    </row>
    <row r="144" spans="4:6" x14ac:dyDescent="0.3">
      <c r="D144" s="14"/>
      <c r="E144" s="13"/>
      <c r="F144" s="12"/>
    </row>
    <row r="145" spans="4:6" x14ac:dyDescent="0.3">
      <c r="D145" s="14"/>
      <c r="E145" s="13"/>
      <c r="F145" s="12"/>
    </row>
    <row r="146" spans="4:6" x14ac:dyDescent="0.3">
      <c r="D146" s="14"/>
      <c r="E146" s="13"/>
      <c r="F146" s="12"/>
    </row>
    <row r="147" spans="4:6" x14ac:dyDescent="0.3">
      <c r="D147" s="14"/>
      <c r="E147" s="13"/>
      <c r="F147" s="12"/>
    </row>
    <row r="148" spans="4:6" x14ac:dyDescent="0.3">
      <c r="D148" s="14"/>
      <c r="E148" s="13"/>
      <c r="F148" s="12"/>
    </row>
    <row r="149" spans="4:6" x14ac:dyDescent="0.3">
      <c r="D149" s="14"/>
      <c r="E149" s="13"/>
      <c r="F149" s="12"/>
    </row>
    <row r="150" spans="4:6" x14ac:dyDescent="0.3">
      <c r="D150" s="14"/>
      <c r="E150" s="13"/>
      <c r="F150" s="12"/>
    </row>
    <row r="151" spans="4:6" x14ac:dyDescent="0.3">
      <c r="D151" s="14"/>
      <c r="E151" s="13"/>
      <c r="F151" s="12"/>
    </row>
    <row r="152" spans="4:6" x14ac:dyDescent="0.3">
      <c r="D152" s="14"/>
      <c r="E152" s="13"/>
      <c r="F152" s="12"/>
    </row>
    <row r="153" spans="4:6" x14ac:dyDescent="0.3">
      <c r="D153" s="14"/>
      <c r="E153" s="13"/>
      <c r="F153" s="12"/>
    </row>
    <row r="154" spans="4:6" x14ac:dyDescent="0.3">
      <c r="D154" s="14"/>
      <c r="E154" s="13"/>
      <c r="F154" s="12"/>
    </row>
    <row r="155" spans="4:6" x14ac:dyDescent="0.3">
      <c r="D155" s="14"/>
      <c r="E155" s="13"/>
      <c r="F155" s="12"/>
    </row>
    <row r="156" spans="4:6" x14ac:dyDescent="0.3">
      <c r="D156" s="14"/>
      <c r="E156" s="13"/>
      <c r="F156" s="12"/>
    </row>
    <row r="157" spans="4:6" x14ac:dyDescent="0.3">
      <c r="D157" s="14"/>
      <c r="E157" s="13"/>
      <c r="F157" s="12"/>
    </row>
    <row r="158" spans="4:6" x14ac:dyDescent="0.3">
      <c r="D158" s="14"/>
      <c r="E158" s="13"/>
      <c r="F158" s="12"/>
    </row>
    <row r="159" spans="4:6" x14ac:dyDescent="0.3">
      <c r="D159" s="14"/>
      <c r="E159" s="13"/>
      <c r="F159" s="12"/>
    </row>
    <row r="160" spans="4:6" x14ac:dyDescent="0.3">
      <c r="D160" s="14"/>
      <c r="E160" s="13"/>
      <c r="F160" s="12"/>
    </row>
    <row r="161" spans="4:6" x14ac:dyDescent="0.3">
      <c r="D161" s="14"/>
      <c r="E161" s="13"/>
      <c r="F161" s="12"/>
    </row>
    <row r="162" spans="4:6" x14ac:dyDescent="0.3">
      <c r="D162" s="14"/>
      <c r="E162" s="13"/>
      <c r="F162" s="12"/>
    </row>
    <row r="163" spans="4:6" x14ac:dyDescent="0.3">
      <c r="D163" s="14"/>
      <c r="E163" s="13"/>
      <c r="F163" s="12"/>
    </row>
    <row r="164" spans="4:6" x14ac:dyDescent="0.3">
      <c r="D164" s="14"/>
      <c r="E164" s="13"/>
      <c r="F164" s="12"/>
    </row>
    <row r="165" spans="4:6" x14ac:dyDescent="0.3">
      <c r="D165" s="14"/>
      <c r="E165" s="13"/>
      <c r="F165" s="12"/>
    </row>
    <row r="166" spans="4:6" x14ac:dyDescent="0.3">
      <c r="D166" s="14"/>
      <c r="E166" s="13"/>
      <c r="F166" s="12"/>
    </row>
    <row r="167" spans="4:6" x14ac:dyDescent="0.3">
      <c r="D167" s="14"/>
      <c r="E167" s="13"/>
      <c r="F167" s="12"/>
    </row>
  </sheetData>
  <pageMargins left="0.70866141732283472" right="0.70866141732283472" top="0.78740157480314965" bottom="0.78740157480314965" header="0.31496062992125984" footer="0.31496062992125984"/>
  <pageSetup paperSize="9" scale="58" orientation="portrait" r:id="rId1"/>
  <headerFooter>
    <oddFooter>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Button.Main">
                <anchor moveWithCells="1" sizeWithCells="1">
                  <from>
                    <xdr:col>5</xdr:col>
                    <xdr:colOff>556260</xdr:colOff>
                    <xdr:row>2</xdr:row>
                    <xdr:rowOff>15240</xdr:rowOff>
                  </from>
                  <to>
                    <xdr:col>7</xdr:col>
                    <xdr:colOff>15240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C000"/>
    <pageSetUpPr fitToPage="1"/>
  </sheetPr>
  <dimension ref="A1"/>
  <sheetViews>
    <sheetView zoomScale="70" zoomScaleNormal="70" workbookViewId="0">
      <selection activeCell="P1" sqref="P1"/>
    </sheetView>
  </sheetViews>
  <sheetFormatPr baseColWidth="10" defaultColWidth="11.44140625" defaultRowHeight="14.4" x14ac:dyDescent="0.3"/>
  <sheetData>
    <row r="1" spans="1:1" s="16" customFormat="1" ht="23.25" x14ac:dyDescent="0.35">
      <c r="A1" s="16" t="s">
        <v>326</v>
      </c>
    </row>
  </sheetData>
  <pageMargins left="0.70866141732283472" right="0.70866141732283472" top="0.78740157480314965" bottom="0.78740157480314965" header="0.31496062992125984" footer="0.31496062992125984"/>
  <pageSetup paperSize="9" scale="8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rgb="FF92D050"/>
    <pageSetUpPr fitToPage="1"/>
  </sheetPr>
  <dimension ref="A1:BA66"/>
  <sheetViews>
    <sheetView zoomScale="70" zoomScaleNormal="70" workbookViewId="0">
      <pane ySplit="3" topLeftCell="A40" activePane="bottomLeft" state="frozen"/>
      <selection activeCell="N1" sqref="N1"/>
      <selection pane="bottomLeft" activeCell="G1" sqref="G1"/>
    </sheetView>
  </sheetViews>
  <sheetFormatPr baseColWidth="10" defaultColWidth="11.44140625" defaultRowHeight="14.4" x14ac:dyDescent="0.3"/>
  <cols>
    <col min="1" max="1" width="10.33203125" style="4" customWidth="1"/>
    <col min="2" max="2" width="9.33203125" style="9" customWidth="1"/>
    <col min="3" max="3" width="18.5546875" style="4" customWidth="1"/>
    <col min="4" max="4" width="45.6640625" style="4" customWidth="1"/>
    <col min="5" max="5" width="10.88671875" style="10" customWidth="1"/>
    <col min="6" max="6" width="10.6640625" style="10" customWidth="1"/>
    <col min="7" max="254" width="11.44140625" style="2"/>
    <col min="255" max="255" width="7.6640625" style="2" customWidth="1"/>
    <col min="256" max="258" width="2.6640625" style="2" customWidth="1"/>
    <col min="259" max="259" width="7.6640625" style="2" customWidth="1"/>
    <col min="260" max="305" width="2.6640625" style="2" customWidth="1"/>
    <col min="306" max="306" width="18.5546875" style="2" customWidth="1"/>
    <col min="307" max="510" width="11.44140625" style="2"/>
    <col min="511" max="511" width="7.6640625" style="2" customWidth="1"/>
    <col min="512" max="514" width="2.6640625" style="2" customWidth="1"/>
    <col min="515" max="515" width="7.6640625" style="2" customWidth="1"/>
    <col min="516" max="561" width="2.6640625" style="2" customWidth="1"/>
    <col min="562" max="562" width="18.5546875" style="2" customWidth="1"/>
    <col min="563" max="766" width="11.44140625" style="2"/>
    <col min="767" max="767" width="7.6640625" style="2" customWidth="1"/>
    <col min="768" max="770" width="2.6640625" style="2" customWidth="1"/>
    <col min="771" max="771" width="7.6640625" style="2" customWidth="1"/>
    <col min="772" max="817" width="2.6640625" style="2" customWidth="1"/>
    <col min="818" max="818" width="18.5546875" style="2" customWidth="1"/>
    <col min="819" max="1022" width="11.44140625" style="2"/>
    <col min="1023" max="1023" width="7.6640625" style="2" customWidth="1"/>
    <col min="1024" max="1026" width="2.6640625" style="2" customWidth="1"/>
    <col min="1027" max="1027" width="7.6640625" style="2" customWidth="1"/>
    <col min="1028" max="1073" width="2.6640625" style="2" customWidth="1"/>
    <col min="1074" max="1074" width="18.5546875" style="2" customWidth="1"/>
    <col min="1075" max="1278" width="11.44140625" style="2"/>
    <col min="1279" max="1279" width="7.6640625" style="2" customWidth="1"/>
    <col min="1280" max="1282" width="2.6640625" style="2" customWidth="1"/>
    <col min="1283" max="1283" width="7.6640625" style="2" customWidth="1"/>
    <col min="1284" max="1329" width="2.6640625" style="2" customWidth="1"/>
    <col min="1330" max="1330" width="18.5546875" style="2" customWidth="1"/>
    <col min="1331" max="1534" width="11.44140625" style="2"/>
    <col min="1535" max="1535" width="7.6640625" style="2" customWidth="1"/>
    <col min="1536" max="1538" width="2.6640625" style="2" customWidth="1"/>
    <col min="1539" max="1539" width="7.6640625" style="2" customWidth="1"/>
    <col min="1540" max="1585" width="2.6640625" style="2" customWidth="1"/>
    <col min="1586" max="1586" width="18.5546875" style="2" customWidth="1"/>
    <col min="1587" max="1790" width="11.44140625" style="2"/>
    <col min="1791" max="1791" width="7.6640625" style="2" customWidth="1"/>
    <col min="1792" max="1794" width="2.6640625" style="2" customWidth="1"/>
    <col min="1795" max="1795" width="7.6640625" style="2" customWidth="1"/>
    <col min="1796" max="1841" width="2.6640625" style="2" customWidth="1"/>
    <col min="1842" max="1842" width="18.5546875" style="2" customWidth="1"/>
    <col min="1843" max="2046" width="11.44140625" style="2"/>
    <col min="2047" max="2047" width="7.6640625" style="2" customWidth="1"/>
    <col min="2048" max="2050" width="2.6640625" style="2" customWidth="1"/>
    <col min="2051" max="2051" width="7.6640625" style="2" customWidth="1"/>
    <col min="2052" max="2097" width="2.6640625" style="2" customWidth="1"/>
    <col min="2098" max="2098" width="18.5546875" style="2" customWidth="1"/>
    <col min="2099" max="2302" width="11.44140625" style="2"/>
    <col min="2303" max="2303" width="7.6640625" style="2" customWidth="1"/>
    <col min="2304" max="2306" width="2.6640625" style="2" customWidth="1"/>
    <col min="2307" max="2307" width="7.6640625" style="2" customWidth="1"/>
    <col min="2308" max="2353" width="2.6640625" style="2" customWidth="1"/>
    <col min="2354" max="2354" width="18.5546875" style="2" customWidth="1"/>
    <col min="2355" max="2558" width="11.44140625" style="2"/>
    <col min="2559" max="2559" width="7.6640625" style="2" customWidth="1"/>
    <col min="2560" max="2562" width="2.6640625" style="2" customWidth="1"/>
    <col min="2563" max="2563" width="7.6640625" style="2" customWidth="1"/>
    <col min="2564" max="2609" width="2.6640625" style="2" customWidth="1"/>
    <col min="2610" max="2610" width="18.5546875" style="2" customWidth="1"/>
    <col min="2611" max="2814" width="11.44140625" style="2"/>
    <col min="2815" max="2815" width="7.6640625" style="2" customWidth="1"/>
    <col min="2816" max="2818" width="2.6640625" style="2" customWidth="1"/>
    <col min="2819" max="2819" width="7.6640625" style="2" customWidth="1"/>
    <col min="2820" max="2865" width="2.6640625" style="2" customWidth="1"/>
    <col min="2866" max="2866" width="18.5546875" style="2" customWidth="1"/>
    <col min="2867" max="3070" width="11.44140625" style="2"/>
    <col min="3071" max="3071" width="7.6640625" style="2" customWidth="1"/>
    <col min="3072" max="3074" width="2.6640625" style="2" customWidth="1"/>
    <col min="3075" max="3075" width="7.6640625" style="2" customWidth="1"/>
    <col min="3076" max="3121" width="2.6640625" style="2" customWidth="1"/>
    <col min="3122" max="3122" width="18.5546875" style="2" customWidth="1"/>
    <col min="3123" max="3326" width="11.44140625" style="2"/>
    <col min="3327" max="3327" width="7.6640625" style="2" customWidth="1"/>
    <col min="3328" max="3330" width="2.6640625" style="2" customWidth="1"/>
    <col min="3331" max="3331" width="7.6640625" style="2" customWidth="1"/>
    <col min="3332" max="3377" width="2.6640625" style="2" customWidth="1"/>
    <col min="3378" max="3378" width="18.5546875" style="2" customWidth="1"/>
    <col min="3379" max="3582" width="11.44140625" style="2"/>
    <col min="3583" max="3583" width="7.6640625" style="2" customWidth="1"/>
    <col min="3584" max="3586" width="2.6640625" style="2" customWidth="1"/>
    <col min="3587" max="3587" width="7.6640625" style="2" customWidth="1"/>
    <col min="3588" max="3633" width="2.6640625" style="2" customWidth="1"/>
    <col min="3634" max="3634" width="18.5546875" style="2" customWidth="1"/>
    <col min="3635" max="3838" width="11.44140625" style="2"/>
    <col min="3839" max="3839" width="7.6640625" style="2" customWidth="1"/>
    <col min="3840" max="3842" width="2.6640625" style="2" customWidth="1"/>
    <col min="3843" max="3843" width="7.6640625" style="2" customWidth="1"/>
    <col min="3844" max="3889" width="2.6640625" style="2" customWidth="1"/>
    <col min="3890" max="3890" width="18.5546875" style="2" customWidth="1"/>
    <col min="3891" max="4094" width="11.44140625" style="2"/>
    <col min="4095" max="4095" width="7.6640625" style="2" customWidth="1"/>
    <col min="4096" max="4098" width="2.6640625" style="2" customWidth="1"/>
    <col min="4099" max="4099" width="7.6640625" style="2" customWidth="1"/>
    <col min="4100" max="4145" width="2.6640625" style="2" customWidth="1"/>
    <col min="4146" max="4146" width="18.5546875" style="2" customWidth="1"/>
    <col min="4147" max="4350" width="11.44140625" style="2"/>
    <col min="4351" max="4351" width="7.6640625" style="2" customWidth="1"/>
    <col min="4352" max="4354" width="2.6640625" style="2" customWidth="1"/>
    <col min="4355" max="4355" width="7.6640625" style="2" customWidth="1"/>
    <col min="4356" max="4401" width="2.6640625" style="2" customWidth="1"/>
    <col min="4402" max="4402" width="18.5546875" style="2" customWidth="1"/>
    <col min="4403" max="4606" width="11.44140625" style="2"/>
    <col min="4607" max="4607" width="7.6640625" style="2" customWidth="1"/>
    <col min="4608" max="4610" width="2.6640625" style="2" customWidth="1"/>
    <col min="4611" max="4611" width="7.6640625" style="2" customWidth="1"/>
    <col min="4612" max="4657" width="2.6640625" style="2" customWidth="1"/>
    <col min="4658" max="4658" width="18.5546875" style="2" customWidth="1"/>
    <col min="4659" max="4862" width="11.44140625" style="2"/>
    <col min="4863" max="4863" width="7.6640625" style="2" customWidth="1"/>
    <col min="4864" max="4866" width="2.6640625" style="2" customWidth="1"/>
    <col min="4867" max="4867" width="7.6640625" style="2" customWidth="1"/>
    <col min="4868" max="4913" width="2.6640625" style="2" customWidth="1"/>
    <col min="4914" max="4914" width="18.5546875" style="2" customWidth="1"/>
    <col min="4915" max="5118" width="11.44140625" style="2"/>
    <col min="5119" max="5119" width="7.6640625" style="2" customWidth="1"/>
    <col min="5120" max="5122" width="2.6640625" style="2" customWidth="1"/>
    <col min="5123" max="5123" width="7.6640625" style="2" customWidth="1"/>
    <col min="5124" max="5169" width="2.6640625" style="2" customWidth="1"/>
    <col min="5170" max="5170" width="18.5546875" style="2" customWidth="1"/>
    <col min="5171" max="5374" width="11.44140625" style="2"/>
    <col min="5375" max="5375" width="7.6640625" style="2" customWidth="1"/>
    <col min="5376" max="5378" width="2.6640625" style="2" customWidth="1"/>
    <col min="5379" max="5379" width="7.6640625" style="2" customWidth="1"/>
    <col min="5380" max="5425" width="2.6640625" style="2" customWidth="1"/>
    <col min="5426" max="5426" width="18.5546875" style="2" customWidth="1"/>
    <col min="5427" max="5630" width="11.44140625" style="2"/>
    <col min="5631" max="5631" width="7.6640625" style="2" customWidth="1"/>
    <col min="5632" max="5634" width="2.6640625" style="2" customWidth="1"/>
    <col min="5635" max="5635" width="7.6640625" style="2" customWidth="1"/>
    <col min="5636" max="5681" width="2.6640625" style="2" customWidth="1"/>
    <col min="5682" max="5682" width="18.5546875" style="2" customWidth="1"/>
    <col min="5683" max="5886" width="11.44140625" style="2"/>
    <col min="5887" max="5887" width="7.6640625" style="2" customWidth="1"/>
    <col min="5888" max="5890" width="2.6640625" style="2" customWidth="1"/>
    <col min="5891" max="5891" width="7.6640625" style="2" customWidth="1"/>
    <col min="5892" max="5937" width="2.6640625" style="2" customWidth="1"/>
    <col min="5938" max="5938" width="18.5546875" style="2" customWidth="1"/>
    <col min="5939" max="6142" width="11.44140625" style="2"/>
    <col min="6143" max="6143" width="7.6640625" style="2" customWidth="1"/>
    <col min="6144" max="6146" width="2.6640625" style="2" customWidth="1"/>
    <col min="6147" max="6147" width="7.6640625" style="2" customWidth="1"/>
    <col min="6148" max="6193" width="2.6640625" style="2" customWidth="1"/>
    <col min="6194" max="6194" width="18.5546875" style="2" customWidth="1"/>
    <col min="6195" max="6398" width="11.44140625" style="2"/>
    <col min="6399" max="6399" width="7.6640625" style="2" customWidth="1"/>
    <col min="6400" max="6402" width="2.6640625" style="2" customWidth="1"/>
    <col min="6403" max="6403" width="7.6640625" style="2" customWidth="1"/>
    <col min="6404" max="6449" width="2.6640625" style="2" customWidth="1"/>
    <col min="6450" max="6450" width="18.5546875" style="2" customWidth="1"/>
    <col min="6451" max="6654" width="11.44140625" style="2"/>
    <col min="6655" max="6655" width="7.6640625" style="2" customWidth="1"/>
    <col min="6656" max="6658" width="2.6640625" style="2" customWidth="1"/>
    <col min="6659" max="6659" width="7.6640625" style="2" customWidth="1"/>
    <col min="6660" max="6705" width="2.6640625" style="2" customWidth="1"/>
    <col min="6706" max="6706" width="18.5546875" style="2" customWidth="1"/>
    <col min="6707" max="6910" width="11.44140625" style="2"/>
    <col min="6911" max="6911" width="7.6640625" style="2" customWidth="1"/>
    <col min="6912" max="6914" width="2.6640625" style="2" customWidth="1"/>
    <col min="6915" max="6915" width="7.6640625" style="2" customWidth="1"/>
    <col min="6916" max="6961" width="2.6640625" style="2" customWidth="1"/>
    <col min="6962" max="6962" width="18.5546875" style="2" customWidth="1"/>
    <col min="6963" max="7166" width="11.44140625" style="2"/>
    <col min="7167" max="7167" width="7.6640625" style="2" customWidth="1"/>
    <col min="7168" max="7170" width="2.6640625" style="2" customWidth="1"/>
    <col min="7171" max="7171" width="7.6640625" style="2" customWidth="1"/>
    <col min="7172" max="7217" width="2.6640625" style="2" customWidth="1"/>
    <col min="7218" max="7218" width="18.5546875" style="2" customWidth="1"/>
    <col min="7219" max="7422" width="11.44140625" style="2"/>
    <col min="7423" max="7423" width="7.6640625" style="2" customWidth="1"/>
    <col min="7424" max="7426" width="2.6640625" style="2" customWidth="1"/>
    <col min="7427" max="7427" width="7.6640625" style="2" customWidth="1"/>
    <col min="7428" max="7473" width="2.6640625" style="2" customWidth="1"/>
    <col min="7474" max="7474" width="18.5546875" style="2" customWidth="1"/>
    <col min="7475" max="7678" width="11.44140625" style="2"/>
    <col min="7679" max="7679" width="7.6640625" style="2" customWidth="1"/>
    <col min="7680" max="7682" width="2.6640625" style="2" customWidth="1"/>
    <col min="7683" max="7683" width="7.6640625" style="2" customWidth="1"/>
    <col min="7684" max="7729" width="2.6640625" style="2" customWidth="1"/>
    <col min="7730" max="7730" width="18.5546875" style="2" customWidth="1"/>
    <col min="7731" max="7934" width="11.44140625" style="2"/>
    <col min="7935" max="7935" width="7.6640625" style="2" customWidth="1"/>
    <col min="7936" max="7938" width="2.6640625" style="2" customWidth="1"/>
    <col min="7939" max="7939" width="7.6640625" style="2" customWidth="1"/>
    <col min="7940" max="7985" width="2.6640625" style="2" customWidth="1"/>
    <col min="7986" max="7986" width="18.5546875" style="2" customWidth="1"/>
    <col min="7987" max="8190" width="11.44140625" style="2"/>
    <col min="8191" max="8191" width="7.6640625" style="2" customWidth="1"/>
    <col min="8192" max="8194" width="2.6640625" style="2" customWidth="1"/>
    <col min="8195" max="8195" width="7.6640625" style="2" customWidth="1"/>
    <col min="8196" max="8241" width="2.6640625" style="2" customWidth="1"/>
    <col min="8242" max="8242" width="18.5546875" style="2" customWidth="1"/>
    <col min="8243" max="8446" width="11.44140625" style="2"/>
    <col min="8447" max="8447" width="7.6640625" style="2" customWidth="1"/>
    <col min="8448" max="8450" width="2.6640625" style="2" customWidth="1"/>
    <col min="8451" max="8451" width="7.6640625" style="2" customWidth="1"/>
    <col min="8452" max="8497" width="2.6640625" style="2" customWidth="1"/>
    <col min="8498" max="8498" width="18.5546875" style="2" customWidth="1"/>
    <col min="8499" max="8702" width="11.44140625" style="2"/>
    <col min="8703" max="8703" width="7.6640625" style="2" customWidth="1"/>
    <col min="8704" max="8706" width="2.6640625" style="2" customWidth="1"/>
    <col min="8707" max="8707" width="7.6640625" style="2" customWidth="1"/>
    <col min="8708" max="8753" width="2.6640625" style="2" customWidth="1"/>
    <col min="8754" max="8754" width="18.5546875" style="2" customWidth="1"/>
    <col min="8755" max="8958" width="11.44140625" style="2"/>
    <col min="8959" max="8959" width="7.6640625" style="2" customWidth="1"/>
    <col min="8960" max="8962" width="2.6640625" style="2" customWidth="1"/>
    <col min="8963" max="8963" width="7.6640625" style="2" customWidth="1"/>
    <col min="8964" max="9009" width="2.6640625" style="2" customWidth="1"/>
    <col min="9010" max="9010" width="18.5546875" style="2" customWidth="1"/>
    <col min="9011" max="9214" width="11.44140625" style="2"/>
    <col min="9215" max="9215" width="7.6640625" style="2" customWidth="1"/>
    <col min="9216" max="9218" width="2.6640625" style="2" customWidth="1"/>
    <col min="9219" max="9219" width="7.6640625" style="2" customWidth="1"/>
    <col min="9220" max="9265" width="2.6640625" style="2" customWidth="1"/>
    <col min="9266" max="9266" width="18.5546875" style="2" customWidth="1"/>
    <col min="9267" max="9470" width="11.44140625" style="2"/>
    <col min="9471" max="9471" width="7.6640625" style="2" customWidth="1"/>
    <col min="9472" max="9474" width="2.6640625" style="2" customWidth="1"/>
    <col min="9475" max="9475" width="7.6640625" style="2" customWidth="1"/>
    <col min="9476" max="9521" width="2.6640625" style="2" customWidth="1"/>
    <col min="9522" max="9522" width="18.5546875" style="2" customWidth="1"/>
    <col min="9523" max="9726" width="11.44140625" style="2"/>
    <col min="9727" max="9727" width="7.6640625" style="2" customWidth="1"/>
    <col min="9728" max="9730" width="2.6640625" style="2" customWidth="1"/>
    <col min="9731" max="9731" width="7.6640625" style="2" customWidth="1"/>
    <col min="9732" max="9777" width="2.6640625" style="2" customWidth="1"/>
    <col min="9778" max="9778" width="18.5546875" style="2" customWidth="1"/>
    <col min="9779" max="9982" width="11.44140625" style="2"/>
    <col min="9983" max="9983" width="7.6640625" style="2" customWidth="1"/>
    <col min="9984" max="9986" width="2.6640625" style="2" customWidth="1"/>
    <col min="9987" max="9987" width="7.6640625" style="2" customWidth="1"/>
    <col min="9988" max="10033" width="2.6640625" style="2" customWidth="1"/>
    <col min="10034" max="10034" width="18.5546875" style="2" customWidth="1"/>
    <col min="10035" max="10238" width="11.44140625" style="2"/>
    <col min="10239" max="10239" width="7.6640625" style="2" customWidth="1"/>
    <col min="10240" max="10242" width="2.6640625" style="2" customWidth="1"/>
    <col min="10243" max="10243" width="7.6640625" style="2" customWidth="1"/>
    <col min="10244" max="10289" width="2.6640625" style="2" customWidth="1"/>
    <col min="10290" max="10290" width="18.5546875" style="2" customWidth="1"/>
    <col min="10291" max="10494" width="11.44140625" style="2"/>
    <col min="10495" max="10495" width="7.6640625" style="2" customWidth="1"/>
    <col min="10496" max="10498" width="2.6640625" style="2" customWidth="1"/>
    <col min="10499" max="10499" width="7.6640625" style="2" customWidth="1"/>
    <col min="10500" max="10545" width="2.6640625" style="2" customWidth="1"/>
    <col min="10546" max="10546" width="18.5546875" style="2" customWidth="1"/>
    <col min="10547" max="10750" width="11.44140625" style="2"/>
    <col min="10751" max="10751" width="7.6640625" style="2" customWidth="1"/>
    <col min="10752" max="10754" width="2.6640625" style="2" customWidth="1"/>
    <col min="10755" max="10755" width="7.6640625" style="2" customWidth="1"/>
    <col min="10756" max="10801" width="2.6640625" style="2" customWidth="1"/>
    <col min="10802" max="10802" width="18.5546875" style="2" customWidth="1"/>
    <col min="10803" max="11006" width="11.44140625" style="2"/>
    <col min="11007" max="11007" width="7.6640625" style="2" customWidth="1"/>
    <col min="11008" max="11010" width="2.6640625" style="2" customWidth="1"/>
    <col min="11011" max="11011" width="7.6640625" style="2" customWidth="1"/>
    <col min="11012" max="11057" width="2.6640625" style="2" customWidth="1"/>
    <col min="11058" max="11058" width="18.5546875" style="2" customWidth="1"/>
    <col min="11059" max="11262" width="11.44140625" style="2"/>
    <col min="11263" max="11263" width="7.6640625" style="2" customWidth="1"/>
    <col min="11264" max="11266" width="2.6640625" style="2" customWidth="1"/>
    <col min="11267" max="11267" width="7.6640625" style="2" customWidth="1"/>
    <col min="11268" max="11313" width="2.6640625" style="2" customWidth="1"/>
    <col min="11314" max="11314" width="18.5546875" style="2" customWidth="1"/>
    <col min="11315" max="11518" width="11.44140625" style="2"/>
    <col min="11519" max="11519" width="7.6640625" style="2" customWidth="1"/>
    <col min="11520" max="11522" width="2.6640625" style="2" customWidth="1"/>
    <col min="11523" max="11523" width="7.6640625" style="2" customWidth="1"/>
    <col min="11524" max="11569" width="2.6640625" style="2" customWidth="1"/>
    <col min="11570" max="11570" width="18.5546875" style="2" customWidth="1"/>
    <col min="11571" max="11774" width="11.44140625" style="2"/>
    <col min="11775" max="11775" width="7.6640625" style="2" customWidth="1"/>
    <col min="11776" max="11778" width="2.6640625" style="2" customWidth="1"/>
    <col min="11779" max="11779" width="7.6640625" style="2" customWidth="1"/>
    <col min="11780" max="11825" width="2.6640625" style="2" customWidth="1"/>
    <col min="11826" max="11826" width="18.5546875" style="2" customWidth="1"/>
    <col min="11827" max="12030" width="11.44140625" style="2"/>
    <col min="12031" max="12031" width="7.6640625" style="2" customWidth="1"/>
    <col min="12032" max="12034" width="2.6640625" style="2" customWidth="1"/>
    <col min="12035" max="12035" width="7.6640625" style="2" customWidth="1"/>
    <col min="12036" max="12081" width="2.6640625" style="2" customWidth="1"/>
    <col min="12082" max="12082" width="18.5546875" style="2" customWidth="1"/>
    <col min="12083" max="12286" width="11.44140625" style="2"/>
    <col min="12287" max="12287" width="7.6640625" style="2" customWidth="1"/>
    <col min="12288" max="12290" width="2.6640625" style="2" customWidth="1"/>
    <col min="12291" max="12291" width="7.6640625" style="2" customWidth="1"/>
    <col min="12292" max="12337" width="2.6640625" style="2" customWidth="1"/>
    <col min="12338" max="12338" width="18.5546875" style="2" customWidth="1"/>
    <col min="12339" max="12542" width="11.44140625" style="2"/>
    <col min="12543" max="12543" width="7.6640625" style="2" customWidth="1"/>
    <col min="12544" max="12546" width="2.6640625" style="2" customWidth="1"/>
    <col min="12547" max="12547" width="7.6640625" style="2" customWidth="1"/>
    <col min="12548" max="12593" width="2.6640625" style="2" customWidth="1"/>
    <col min="12594" max="12594" width="18.5546875" style="2" customWidth="1"/>
    <col min="12595" max="12798" width="11.44140625" style="2"/>
    <col min="12799" max="12799" width="7.6640625" style="2" customWidth="1"/>
    <col min="12800" max="12802" width="2.6640625" style="2" customWidth="1"/>
    <col min="12803" max="12803" width="7.6640625" style="2" customWidth="1"/>
    <col min="12804" max="12849" width="2.6640625" style="2" customWidth="1"/>
    <col min="12850" max="12850" width="18.5546875" style="2" customWidth="1"/>
    <col min="12851" max="13054" width="11.44140625" style="2"/>
    <col min="13055" max="13055" width="7.6640625" style="2" customWidth="1"/>
    <col min="13056" max="13058" width="2.6640625" style="2" customWidth="1"/>
    <col min="13059" max="13059" width="7.6640625" style="2" customWidth="1"/>
    <col min="13060" max="13105" width="2.6640625" style="2" customWidth="1"/>
    <col min="13106" max="13106" width="18.5546875" style="2" customWidth="1"/>
    <col min="13107" max="13310" width="11.44140625" style="2"/>
    <col min="13311" max="13311" width="7.6640625" style="2" customWidth="1"/>
    <col min="13312" max="13314" width="2.6640625" style="2" customWidth="1"/>
    <col min="13315" max="13315" width="7.6640625" style="2" customWidth="1"/>
    <col min="13316" max="13361" width="2.6640625" style="2" customWidth="1"/>
    <col min="13362" max="13362" width="18.5546875" style="2" customWidth="1"/>
    <col min="13363" max="13566" width="11.44140625" style="2"/>
    <col min="13567" max="13567" width="7.6640625" style="2" customWidth="1"/>
    <col min="13568" max="13570" width="2.6640625" style="2" customWidth="1"/>
    <col min="13571" max="13571" width="7.6640625" style="2" customWidth="1"/>
    <col min="13572" max="13617" width="2.6640625" style="2" customWidth="1"/>
    <col min="13618" max="13618" width="18.5546875" style="2" customWidth="1"/>
    <col min="13619" max="13822" width="11.44140625" style="2"/>
    <col min="13823" max="13823" width="7.6640625" style="2" customWidth="1"/>
    <col min="13824" max="13826" width="2.6640625" style="2" customWidth="1"/>
    <col min="13827" max="13827" width="7.6640625" style="2" customWidth="1"/>
    <col min="13828" max="13873" width="2.6640625" style="2" customWidth="1"/>
    <col min="13874" max="13874" width="18.5546875" style="2" customWidth="1"/>
    <col min="13875" max="14078" width="11.44140625" style="2"/>
    <col min="14079" max="14079" width="7.6640625" style="2" customWidth="1"/>
    <col min="14080" max="14082" width="2.6640625" style="2" customWidth="1"/>
    <col min="14083" max="14083" width="7.6640625" style="2" customWidth="1"/>
    <col min="14084" max="14129" width="2.6640625" style="2" customWidth="1"/>
    <col min="14130" max="14130" width="18.5546875" style="2" customWidth="1"/>
    <col min="14131" max="14334" width="11.44140625" style="2"/>
    <col min="14335" max="14335" width="7.6640625" style="2" customWidth="1"/>
    <col min="14336" max="14338" width="2.6640625" style="2" customWidth="1"/>
    <col min="14339" max="14339" width="7.6640625" style="2" customWidth="1"/>
    <col min="14340" max="14385" width="2.6640625" style="2" customWidth="1"/>
    <col min="14386" max="14386" width="18.5546875" style="2" customWidth="1"/>
    <col min="14387" max="14590" width="11.44140625" style="2"/>
    <col min="14591" max="14591" width="7.6640625" style="2" customWidth="1"/>
    <col min="14592" max="14594" width="2.6640625" style="2" customWidth="1"/>
    <col min="14595" max="14595" width="7.6640625" style="2" customWidth="1"/>
    <col min="14596" max="14641" width="2.6640625" style="2" customWidth="1"/>
    <col min="14642" max="14642" width="18.5546875" style="2" customWidth="1"/>
    <col min="14643" max="14846" width="11.44140625" style="2"/>
    <col min="14847" max="14847" width="7.6640625" style="2" customWidth="1"/>
    <col min="14848" max="14850" width="2.6640625" style="2" customWidth="1"/>
    <col min="14851" max="14851" width="7.6640625" style="2" customWidth="1"/>
    <col min="14852" max="14897" width="2.6640625" style="2" customWidth="1"/>
    <col min="14898" max="14898" width="18.5546875" style="2" customWidth="1"/>
    <col min="14899" max="15102" width="11.44140625" style="2"/>
    <col min="15103" max="15103" width="7.6640625" style="2" customWidth="1"/>
    <col min="15104" max="15106" width="2.6640625" style="2" customWidth="1"/>
    <col min="15107" max="15107" width="7.6640625" style="2" customWidth="1"/>
    <col min="15108" max="15153" width="2.6640625" style="2" customWidth="1"/>
    <col min="15154" max="15154" width="18.5546875" style="2" customWidth="1"/>
    <col min="15155" max="15358" width="11.44140625" style="2"/>
    <col min="15359" max="15359" width="7.6640625" style="2" customWidth="1"/>
    <col min="15360" max="15362" width="2.6640625" style="2" customWidth="1"/>
    <col min="15363" max="15363" width="7.6640625" style="2" customWidth="1"/>
    <col min="15364" max="15409" width="2.6640625" style="2" customWidth="1"/>
    <col min="15410" max="15410" width="18.5546875" style="2" customWidth="1"/>
    <col min="15411" max="15614" width="11.44140625" style="2"/>
    <col min="15615" max="15615" width="7.6640625" style="2" customWidth="1"/>
    <col min="15616" max="15618" width="2.6640625" style="2" customWidth="1"/>
    <col min="15619" max="15619" width="7.6640625" style="2" customWidth="1"/>
    <col min="15620" max="15665" width="2.6640625" style="2" customWidth="1"/>
    <col min="15666" max="15666" width="18.5546875" style="2" customWidth="1"/>
    <col min="15667" max="15870" width="11.44140625" style="2"/>
    <col min="15871" max="15871" width="7.6640625" style="2" customWidth="1"/>
    <col min="15872" max="15874" width="2.6640625" style="2" customWidth="1"/>
    <col min="15875" max="15875" width="7.6640625" style="2" customWidth="1"/>
    <col min="15876" max="15921" width="2.6640625" style="2" customWidth="1"/>
    <col min="15922" max="15922" width="18.5546875" style="2" customWidth="1"/>
    <col min="15923" max="16126" width="11.44140625" style="2"/>
    <col min="16127" max="16127" width="7.6640625" style="2" customWidth="1"/>
    <col min="16128" max="16130" width="2.6640625" style="2" customWidth="1"/>
    <col min="16131" max="16131" width="7.6640625" style="2" customWidth="1"/>
    <col min="16132" max="16177" width="2.6640625" style="2" customWidth="1"/>
    <col min="16178" max="16178" width="18.5546875" style="2" customWidth="1"/>
    <col min="16179" max="16384" width="11.44140625" style="2"/>
  </cols>
  <sheetData>
    <row r="1" spans="1:53" s="1" customFormat="1" ht="24" thickTop="1" x14ac:dyDescent="0.45">
      <c r="A1" s="55" t="s">
        <v>223</v>
      </c>
      <c r="B1" s="58"/>
      <c r="C1" s="55"/>
      <c r="D1" s="55"/>
      <c r="E1" s="55"/>
      <c r="F1" s="123" t="s">
        <v>744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</row>
    <row r="2" spans="1:53" s="4" customFormat="1" ht="17.25" customHeight="1" thickBot="1" x14ac:dyDescent="0.35">
      <c r="B2" s="9"/>
      <c r="E2" s="10"/>
      <c r="F2" s="10"/>
      <c r="AZ2" s="5"/>
    </row>
    <row r="3" spans="1:53" s="11" customFormat="1" ht="49.5" customHeight="1" thickBot="1" x14ac:dyDescent="0.35">
      <c r="A3" s="52" t="s">
        <v>371</v>
      </c>
      <c r="B3" s="38" t="s">
        <v>370</v>
      </c>
      <c r="C3" s="53" t="s">
        <v>227</v>
      </c>
      <c r="D3" s="38" t="s">
        <v>226</v>
      </c>
      <c r="E3" s="54" t="s">
        <v>278</v>
      </c>
      <c r="F3" s="49" t="s">
        <v>279</v>
      </c>
      <c r="AZ3" s="56"/>
    </row>
    <row r="4" spans="1:53" x14ac:dyDescent="0.3">
      <c r="A4" s="34" t="s">
        <v>35</v>
      </c>
      <c r="B4" s="28" t="s">
        <v>3</v>
      </c>
      <c r="C4" s="41" t="s">
        <v>35</v>
      </c>
      <c r="D4" s="29" t="s">
        <v>280</v>
      </c>
      <c r="E4" s="45">
        <v>1</v>
      </c>
      <c r="F4" s="30">
        <f>E4*8</f>
        <v>8</v>
      </c>
      <c r="AZ4" s="57"/>
    </row>
    <row r="5" spans="1:53" ht="15" thickBot="1" x14ac:dyDescent="0.35">
      <c r="A5" s="35" t="s">
        <v>329</v>
      </c>
      <c r="B5" s="31" t="s">
        <v>21</v>
      </c>
      <c r="C5" s="42" t="s">
        <v>1</v>
      </c>
      <c r="D5" s="32" t="s">
        <v>281</v>
      </c>
      <c r="E5" s="46">
        <v>2</v>
      </c>
      <c r="F5" s="33">
        <f>E5*8</f>
        <v>16</v>
      </c>
      <c r="AZ5" s="57"/>
    </row>
    <row r="6" spans="1:53" x14ac:dyDescent="0.3">
      <c r="A6" s="36" t="s">
        <v>224</v>
      </c>
      <c r="B6" s="47" t="s">
        <v>330</v>
      </c>
      <c r="C6" s="43" t="s">
        <v>225</v>
      </c>
      <c r="D6" s="39" t="s">
        <v>235</v>
      </c>
      <c r="E6" s="50">
        <v>2</v>
      </c>
      <c r="F6" s="50">
        <f>E6*8</f>
        <v>16</v>
      </c>
      <c r="AZ6" s="57"/>
    </row>
    <row r="7" spans="1:53" x14ac:dyDescent="0.3">
      <c r="A7" s="37" t="s">
        <v>208</v>
      </c>
      <c r="B7" s="48" t="s">
        <v>331</v>
      </c>
      <c r="C7" s="44" t="s">
        <v>381</v>
      </c>
      <c r="D7" s="40" t="s">
        <v>365</v>
      </c>
      <c r="E7" s="51">
        <v>3</v>
      </c>
      <c r="F7" s="51">
        <f>E7*8</f>
        <v>24</v>
      </c>
      <c r="AZ7" s="57"/>
    </row>
    <row r="8" spans="1:53" x14ac:dyDescent="0.3">
      <c r="A8" s="37" t="s">
        <v>209</v>
      </c>
      <c r="B8" s="48" t="s">
        <v>332</v>
      </c>
      <c r="C8" s="44" t="s">
        <v>382</v>
      </c>
      <c r="D8" s="40" t="s">
        <v>366</v>
      </c>
      <c r="E8" s="51">
        <v>3</v>
      </c>
      <c r="F8" s="51">
        <f t="shared" ref="F8:F26" si="0">E8*8</f>
        <v>24</v>
      </c>
      <c r="AZ8" s="57"/>
    </row>
    <row r="9" spans="1:53" x14ac:dyDescent="0.3">
      <c r="A9" s="37" t="s">
        <v>210</v>
      </c>
      <c r="B9" s="48" t="s">
        <v>333</v>
      </c>
      <c r="C9" s="44" t="s">
        <v>383</v>
      </c>
      <c r="D9" s="40" t="s">
        <v>367</v>
      </c>
      <c r="E9" s="51">
        <v>3</v>
      </c>
      <c r="F9" s="51">
        <f t="shared" si="0"/>
        <v>24</v>
      </c>
      <c r="AZ9" s="57"/>
    </row>
    <row r="10" spans="1:53" x14ac:dyDescent="0.3">
      <c r="A10" s="37" t="s">
        <v>211</v>
      </c>
      <c r="B10" s="48" t="s">
        <v>334</v>
      </c>
      <c r="C10" s="44" t="s">
        <v>384</v>
      </c>
      <c r="D10" s="40" t="s">
        <v>368</v>
      </c>
      <c r="E10" s="51">
        <v>3</v>
      </c>
      <c r="F10" s="51">
        <f t="shared" si="0"/>
        <v>24</v>
      </c>
    </row>
    <row r="11" spans="1:53" x14ac:dyDescent="0.3">
      <c r="A11" s="37" t="s">
        <v>170</v>
      </c>
      <c r="B11" s="48" t="s">
        <v>335</v>
      </c>
      <c r="C11" s="44" t="s">
        <v>385</v>
      </c>
      <c r="D11" s="40" t="s">
        <v>236</v>
      </c>
      <c r="E11" s="51">
        <v>4</v>
      </c>
      <c r="F11" s="51">
        <f t="shared" si="0"/>
        <v>32</v>
      </c>
    </row>
    <row r="12" spans="1:53" x14ac:dyDescent="0.3">
      <c r="A12" s="37" t="s">
        <v>214</v>
      </c>
      <c r="B12" s="48" t="s">
        <v>336</v>
      </c>
      <c r="C12" s="44" t="s">
        <v>386</v>
      </c>
      <c r="D12" s="40" t="s">
        <v>237</v>
      </c>
      <c r="E12" s="51">
        <v>4</v>
      </c>
      <c r="F12" s="51">
        <f t="shared" si="0"/>
        <v>32</v>
      </c>
    </row>
    <row r="13" spans="1:53" x14ac:dyDescent="0.3">
      <c r="A13" s="37" t="s">
        <v>197</v>
      </c>
      <c r="B13" s="48" t="s">
        <v>337</v>
      </c>
      <c r="C13" s="44" t="s">
        <v>387</v>
      </c>
      <c r="D13" s="40" t="s">
        <v>238</v>
      </c>
      <c r="E13" s="51">
        <v>4</v>
      </c>
      <c r="F13" s="51">
        <f t="shared" si="0"/>
        <v>32</v>
      </c>
    </row>
    <row r="14" spans="1:53" x14ac:dyDescent="0.3">
      <c r="A14" s="37" t="s">
        <v>179</v>
      </c>
      <c r="B14" s="48" t="s">
        <v>338</v>
      </c>
      <c r="C14" s="44" t="s">
        <v>388</v>
      </c>
      <c r="D14" s="40" t="s">
        <v>239</v>
      </c>
      <c r="E14" s="51">
        <v>4</v>
      </c>
      <c r="F14" s="51">
        <f t="shared" si="0"/>
        <v>32</v>
      </c>
    </row>
    <row r="15" spans="1:53" x14ac:dyDescent="0.3">
      <c r="A15" s="37" t="s">
        <v>181</v>
      </c>
      <c r="B15" s="48" t="s">
        <v>339</v>
      </c>
      <c r="C15" s="44" t="s">
        <v>389</v>
      </c>
      <c r="D15" s="40" t="s">
        <v>363</v>
      </c>
      <c r="E15" s="51">
        <v>3</v>
      </c>
      <c r="F15" s="51">
        <f t="shared" si="0"/>
        <v>24</v>
      </c>
    </row>
    <row r="16" spans="1:53" x14ac:dyDescent="0.3">
      <c r="A16" s="37" t="s">
        <v>177</v>
      </c>
      <c r="B16" s="48" t="s">
        <v>340</v>
      </c>
      <c r="C16" s="44" t="s">
        <v>390</v>
      </c>
      <c r="D16" s="40" t="s">
        <v>364</v>
      </c>
      <c r="E16" s="51">
        <v>3</v>
      </c>
      <c r="F16" s="51">
        <f t="shared" si="0"/>
        <v>24</v>
      </c>
    </row>
    <row r="17" spans="1:6" x14ac:dyDescent="0.3">
      <c r="A17" s="37" t="s">
        <v>221</v>
      </c>
      <c r="B17" s="48" t="s">
        <v>341</v>
      </c>
      <c r="C17" s="44" t="s">
        <v>391</v>
      </c>
      <c r="D17" s="40" t="s">
        <v>240</v>
      </c>
      <c r="E17" s="51">
        <v>4</v>
      </c>
      <c r="F17" s="51">
        <f t="shared" si="0"/>
        <v>32</v>
      </c>
    </row>
    <row r="18" spans="1:6" x14ac:dyDescent="0.3">
      <c r="A18" s="37" t="s">
        <v>172</v>
      </c>
      <c r="B18" s="48" t="s">
        <v>343</v>
      </c>
      <c r="C18" s="44" t="s">
        <v>392</v>
      </c>
      <c r="D18" s="40" t="s">
        <v>241</v>
      </c>
      <c r="E18" s="51">
        <v>4</v>
      </c>
      <c r="F18" s="51">
        <f t="shared" si="0"/>
        <v>32</v>
      </c>
    </row>
    <row r="19" spans="1:6" x14ac:dyDescent="0.3">
      <c r="A19" s="37" t="s">
        <v>201</v>
      </c>
      <c r="B19" s="48" t="s">
        <v>344</v>
      </c>
      <c r="C19" s="44" t="s">
        <v>393</v>
      </c>
      <c r="D19" s="40" t="s">
        <v>242</v>
      </c>
      <c r="E19" s="51">
        <v>4</v>
      </c>
      <c r="F19" s="51">
        <f t="shared" si="0"/>
        <v>32</v>
      </c>
    </row>
    <row r="20" spans="1:6" x14ac:dyDescent="0.3">
      <c r="A20" s="37" t="s">
        <v>216</v>
      </c>
      <c r="B20" s="48" t="s">
        <v>345</v>
      </c>
      <c r="C20" s="44" t="s">
        <v>394</v>
      </c>
      <c r="D20" s="40" t="s">
        <v>243</v>
      </c>
      <c r="E20" s="51">
        <v>4</v>
      </c>
      <c r="F20" s="51">
        <f t="shared" si="0"/>
        <v>32</v>
      </c>
    </row>
    <row r="21" spans="1:6" x14ac:dyDescent="0.3">
      <c r="A21" s="37" t="s">
        <v>199</v>
      </c>
      <c r="B21" s="48" t="s">
        <v>346</v>
      </c>
      <c r="C21" s="44" t="s">
        <v>395</v>
      </c>
      <c r="D21" s="40" t="s">
        <v>244</v>
      </c>
      <c r="E21" s="51">
        <v>3</v>
      </c>
      <c r="F21" s="51">
        <f t="shared" si="0"/>
        <v>24</v>
      </c>
    </row>
    <row r="22" spans="1:6" x14ac:dyDescent="0.3">
      <c r="A22" s="37" t="s">
        <v>169</v>
      </c>
      <c r="B22" s="48" t="s">
        <v>342</v>
      </c>
      <c r="C22" s="44" t="s">
        <v>396</v>
      </c>
      <c r="D22" s="40" t="s">
        <v>246</v>
      </c>
      <c r="E22" s="51">
        <v>4</v>
      </c>
      <c r="F22" s="51">
        <f t="shared" si="0"/>
        <v>32</v>
      </c>
    </row>
    <row r="23" spans="1:6" x14ac:dyDescent="0.3">
      <c r="A23" s="37" t="s">
        <v>213</v>
      </c>
      <c r="B23" s="48" t="s">
        <v>347</v>
      </c>
      <c r="C23" s="44" t="s">
        <v>397</v>
      </c>
      <c r="D23" s="40" t="s">
        <v>245</v>
      </c>
      <c r="E23" s="51">
        <v>4</v>
      </c>
      <c r="F23" s="51">
        <f t="shared" si="0"/>
        <v>32</v>
      </c>
    </row>
    <row r="24" spans="1:6" x14ac:dyDescent="0.3">
      <c r="A24" s="37" t="s">
        <v>196</v>
      </c>
      <c r="B24" s="48" t="s">
        <v>348</v>
      </c>
      <c r="C24" s="44" t="s">
        <v>398</v>
      </c>
      <c r="D24" s="40" t="s">
        <v>247</v>
      </c>
      <c r="E24" s="51">
        <v>4</v>
      </c>
      <c r="F24" s="51">
        <f t="shared" si="0"/>
        <v>32</v>
      </c>
    </row>
    <row r="25" spans="1:6" x14ac:dyDescent="0.3">
      <c r="A25" s="37" t="s">
        <v>220</v>
      </c>
      <c r="B25" s="48" t="s">
        <v>349</v>
      </c>
      <c r="C25" s="44" t="s">
        <v>399</v>
      </c>
      <c r="D25" s="40" t="s">
        <v>248</v>
      </c>
      <c r="E25" s="51">
        <v>4</v>
      </c>
      <c r="F25" s="51">
        <f t="shared" si="0"/>
        <v>32</v>
      </c>
    </row>
    <row r="26" spans="1:6" x14ac:dyDescent="0.3">
      <c r="A26" s="37" t="s">
        <v>178</v>
      </c>
      <c r="B26" s="48" t="s">
        <v>350</v>
      </c>
      <c r="C26" s="44" t="s">
        <v>400</v>
      </c>
      <c r="D26" s="40" t="s">
        <v>249</v>
      </c>
      <c r="E26" s="51">
        <v>4</v>
      </c>
      <c r="F26" s="51">
        <f t="shared" si="0"/>
        <v>32</v>
      </c>
    </row>
    <row r="27" spans="1:6" x14ac:dyDescent="0.3">
      <c r="A27" s="37" t="s">
        <v>171</v>
      </c>
      <c r="B27" s="48" t="s">
        <v>351</v>
      </c>
      <c r="C27" s="44" t="s">
        <v>401</v>
      </c>
      <c r="D27" s="40" t="s">
        <v>250</v>
      </c>
      <c r="E27" s="51">
        <v>4</v>
      </c>
      <c r="F27" s="51">
        <f>E27*8</f>
        <v>32</v>
      </c>
    </row>
    <row r="28" spans="1:6" x14ac:dyDescent="0.3">
      <c r="A28" s="37" t="s">
        <v>200</v>
      </c>
      <c r="B28" s="48" t="s">
        <v>352</v>
      </c>
      <c r="C28" s="44" t="s">
        <v>402</v>
      </c>
      <c r="D28" s="40" t="s">
        <v>251</v>
      </c>
      <c r="E28" s="51">
        <v>4</v>
      </c>
      <c r="F28" s="51">
        <f>E28*8</f>
        <v>32</v>
      </c>
    </row>
    <row r="29" spans="1:6" x14ac:dyDescent="0.3">
      <c r="A29" s="37" t="s">
        <v>215</v>
      </c>
      <c r="B29" s="48" t="s">
        <v>353</v>
      </c>
      <c r="C29" s="44" t="s">
        <v>403</v>
      </c>
      <c r="D29" s="40" t="s">
        <v>252</v>
      </c>
      <c r="E29" s="51">
        <v>4</v>
      </c>
      <c r="F29" s="51">
        <f t="shared" ref="F29:F46" si="1">E29*8</f>
        <v>32</v>
      </c>
    </row>
    <row r="30" spans="1:6" x14ac:dyDescent="0.3">
      <c r="A30" s="37" t="s">
        <v>184</v>
      </c>
      <c r="B30" s="48" t="s">
        <v>377</v>
      </c>
      <c r="C30" s="44" t="s">
        <v>404</v>
      </c>
      <c r="D30" s="40" t="s">
        <v>253</v>
      </c>
      <c r="E30" s="51">
        <v>3</v>
      </c>
      <c r="F30" s="51">
        <f t="shared" si="1"/>
        <v>24</v>
      </c>
    </row>
    <row r="31" spans="1:6" x14ac:dyDescent="0.3">
      <c r="A31" s="37" t="s">
        <v>190</v>
      </c>
      <c r="B31" s="48" t="s">
        <v>354</v>
      </c>
      <c r="C31" s="44" t="s">
        <v>405</v>
      </c>
      <c r="D31" s="40" t="s">
        <v>254</v>
      </c>
      <c r="E31" s="51">
        <v>4</v>
      </c>
      <c r="F31" s="51">
        <f t="shared" si="1"/>
        <v>32</v>
      </c>
    </row>
    <row r="32" spans="1:6" x14ac:dyDescent="0.3">
      <c r="A32" s="37" t="s">
        <v>187</v>
      </c>
      <c r="B32" s="48" t="s">
        <v>355</v>
      </c>
      <c r="C32" s="44" t="s">
        <v>406</v>
      </c>
      <c r="D32" s="40" t="s">
        <v>372</v>
      </c>
      <c r="E32" s="51">
        <v>4</v>
      </c>
      <c r="F32" s="51">
        <f t="shared" si="1"/>
        <v>32</v>
      </c>
    </row>
    <row r="33" spans="1:6" x14ac:dyDescent="0.3">
      <c r="A33" s="37" t="s">
        <v>189</v>
      </c>
      <c r="B33" s="48" t="s">
        <v>356</v>
      </c>
      <c r="C33" s="44" t="s">
        <v>407</v>
      </c>
      <c r="D33" s="40" t="s">
        <v>255</v>
      </c>
      <c r="E33" s="51">
        <v>4</v>
      </c>
      <c r="F33" s="51">
        <f t="shared" si="1"/>
        <v>32</v>
      </c>
    </row>
    <row r="34" spans="1:6" x14ac:dyDescent="0.3">
      <c r="A34" s="37" t="s">
        <v>186</v>
      </c>
      <c r="B34" s="48" t="s">
        <v>357</v>
      </c>
      <c r="C34" s="44" t="s">
        <v>408</v>
      </c>
      <c r="D34" s="40" t="s">
        <v>256</v>
      </c>
      <c r="E34" s="51">
        <v>4</v>
      </c>
      <c r="F34" s="51">
        <f t="shared" si="1"/>
        <v>32</v>
      </c>
    </row>
    <row r="35" spans="1:6" x14ac:dyDescent="0.3">
      <c r="A35" s="37" t="s">
        <v>188</v>
      </c>
      <c r="B35" s="48" t="s">
        <v>358</v>
      </c>
      <c r="C35" s="44" t="s">
        <v>409</v>
      </c>
      <c r="D35" s="40" t="s">
        <v>257</v>
      </c>
      <c r="E35" s="51">
        <v>4</v>
      </c>
      <c r="F35" s="51">
        <f t="shared" si="1"/>
        <v>32</v>
      </c>
    </row>
    <row r="36" spans="1:6" x14ac:dyDescent="0.3">
      <c r="A36" s="37" t="s">
        <v>185</v>
      </c>
      <c r="B36" s="48" t="s">
        <v>359</v>
      </c>
      <c r="C36" s="44" t="s">
        <v>410</v>
      </c>
      <c r="D36" s="40" t="s">
        <v>258</v>
      </c>
      <c r="E36" s="51">
        <v>4</v>
      </c>
      <c r="F36" s="51">
        <f t="shared" si="1"/>
        <v>32</v>
      </c>
    </row>
    <row r="37" spans="1:6" x14ac:dyDescent="0.3">
      <c r="A37" s="37" t="s">
        <v>173</v>
      </c>
      <c r="B37" s="48" t="s">
        <v>360</v>
      </c>
      <c r="C37" s="44" t="s">
        <v>411</v>
      </c>
      <c r="D37" s="40" t="s">
        <v>369</v>
      </c>
      <c r="E37" s="51">
        <v>3</v>
      </c>
      <c r="F37" s="51">
        <f t="shared" si="1"/>
        <v>24</v>
      </c>
    </row>
    <row r="38" spans="1:6" x14ac:dyDescent="0.3">
      <c r="A38" s="37" t="s">
        <v>207</v>
      </c>
      <c r="B38" s="48" t="s">
        <v>361</v>
      </c>
      <c r="C38" s="44" t="s">
        <v>22</v>
      </c>
      <c r="D38" s="40" t="s">
        <v>259</v>
      </c>
      <c r="E38" s="51">
        <v>2</v>
      </c>
      <c r="F38" s="51">
        <f t="shared" si="1"/>
        <v>16</v>
      </c>
    </row>
    <row r="39" spans="1:6" x14ac:dyDescent="0.3">
      <c r="A39" s="37" t="s">
        <v>182</v>
      </c>
      <c r="B39" s="48" t="s">
        <v>373</v>
      </c>
      <c r="C39" s="44" t="s">
        <v>412</v>
      </c>
      <c r="D39" s="40" t="s">
        <v>260</v>
      </c>
      <c r="E39" s="51">
        <v>4</v>
      </c>
      <c r="F39" s="51">
        <f t="shared" si="1"/>
        <v>32</v>
      </c>
    </row>
    <row r="40" spans="1:6" x14ac:dyDescent="0.3">
      <c r="A40" s="37" t="s">
        <v>183</v>
      </c>
      <c r="B40" s="48" t="s">
        <v>378</v>
      </c>
      <c r="C40" s="44" t="s">
        <v>68</v>
      </c>
      <c r="D40" s="40" t="s">
        <v>261</v>
      </c>
      <c r="E40" s="51">
        <v>2</v>
      </c>
      <c r="F40" s="51">
        <f t="shared" si="1"/>
        <v>16</v>
      </c>
    </row>
    <row r="41" spans="1:6" x14ac:dyDescent="0.3">
      <c r="A41" s="37" t="s">
        <v>191</v>
      </c>
      <c r="B41" s="48" t="s">
        <v>426</v>
      </c>
      <c r="C41" s="44" t="s">
        <v>413</v>
      </c>
      <c r="D41" s="40" t="s">
        <v>262</v>
      </c>
      <c r="E41" s="51">
        <v>3</v>
      </c>
      <c r="F41" s="51">
        <f t="shared" si="1"/>
        <v>24</v>
      </c>
    </row>
    <row r="42" spans="1:6" x14ac:dyDescent="0.3">
      <c r="A42" s="37" t="s">
        <v>192</v>
      </c>
      <c r="B42" s="48" t="s">
        <v>428</v>
      </c>
      <c r="C42" s="44" t="s">
        <v>414</v>
      </c>
      <c r="D42" s="40" t="s">
        <v>265</v>
      </c>
      <c r="E42" s="51">
        <v>4</v>
      </c>
      <c r="F42" s="51">
        <f t="shared" si="1"/>
        <v>32</v>
      </c>
    </row>
    <row r="43" spans="1:6" x14ac:dyDescent="0.3">
      <c r="A43" s="37" t="s">
        <v>195</v>
      </c>
      <c r="B43" s="48" t="s">
        <v>427</v>
      </c>
      <c r="C43" s="44" t="s">
        <v>415</v>
      </c>
      <c r="D43" s="40" t="s">
        <v>263</v>
      </c>
      <c r="E43" s="51">
        <v>4</v>
      </c>
      <c r="F43" s="51">
        <f t="shared" si="1"/>
        <v>32</v>
      </c>
    </row>
    <row r="44" spans="1:6" x14ac:dyDescent="0.3">
      <c r="A44" s="37" t="s">
        <v>193</v>
      </c>
      <c r="B44" s="48" t="s">
        <v>429</v>
      </c>
      <c r="C44" s="44" t="s">
        <v>416</v>
      </c>
      <c r="D44" s="40" t="s">
        <v>266</v>
      </c>
      <c r="E44" s="51">
        <v>4</v>
      </c>
      <c r="F44" s="51">
        <f t="shared" si="1"/>
        <v>32</v>
      </c>
    </row>
    <row r="45" spans="1:6" x14ac:dyDescent="0.3">
      <c r="A45" s="37" t="s">
        <v>194</v>
      </c>
      <c r="B45" s="48" t="s">
        <v>430</v>
      </c>
      <c r="C45" s="44" t="s">
        <v>417</v>
      </c>
      <c r="D45" s="40" t="s">
        <v>267</v>
      </c>
      <c r="E45" s="51">
        <v>4</v>
      </c>
      <c r="F45" s="51">
        <f t="shared" si="1"/>
        <v>32</v>
      </c>
    </row>
    <row r="46" spans="1:6" x14ac:dyDescent="0.3">
      <c r="A46" s="37" t="s">
        <v>222</v>
      </c>
      <c r="B46" s="48" t="s">
        <v>431</v>
      </c>
      <c r="C46" s="44" t="s">
        <v>418</v>
      </c>
      <c r="D46" s="40" t="s">
        <v>264</v>
      </c>
      <c r="E46" s="51">
        <v>4</v>
      </c>
      <c r="F46" s="51">
        <f t="shared" si="1"/>
        <v>32</v>
      </c>
    </row>
    <row r="47" spans="1:6" x14ac:dyDescent="0.3">
      <c r="A47" s="37" t="s">
        <v>176</v>
      </c>
      <c r="B47" s="48" t="s">
        <v>432</v>
      </c>
      <c r="C47" s="44" t="s">
        <v>419</v>
      </c>
      <c r="D47" s="40" t="s">
        <v>268</v>
      </c>
      <c r="E47" s="51">
        <v>4</v>
      </c>
      <c r="F47" s="51">
        <f>E47*8</f>
        <v>32</v>
      </c>
    </row>
    <row r="48" spans="1:6" x14ac:dyDescent="0.3">
      <c r="A48" s="37" t="s">
        <v>175</v>
      </c>
      <c r="B48" s="48" t="s">
        <v>433</v>
      </c>
      <c r="C48" s="44" t="s">
        <v>420</v>
      </c>
      <c r="D48" s="40" t="s">
        <v>269</v>
      </c>
      <c r="E48" s="51">
        <v>4</v>
      </c>
      <c r="F48" s="51">
        <f>E48*8</f>
        <v>32</v>
      </c>
    </row>
    <row r="49" spans="1:6" x14ac:dyDescent="0.3">
      <c r="A49" s="37" t="s">
        <v>218</v>
      </c>
      <c r="B49" s="48" t="s">
        <v>434</v>
      </c>
      <c r="C49" s="44" t="s">
        <v>421</v>
      </c>
      <c r="D49" s="40" t="s">
        <v>270</v>
      </c>
      <c r="E49" s="51">
        <v>4</v>
      </c>
      <c r="F49" s="51">
        <f t="shared" ref="F49:F58" si="2">E49*8</f>
        <v>32</v>
      </c>
    </row>
    <row r="50" spans="1:6" x14ac:dyDescent="0.3">
      <c r="A50" s="37" t="s">
        <v>205</v>
      </c>
      <c r="B50" s="48" t="s">
        <v>435</v>
      </c>
      <c r="C50" s="44" t="s">
        <v>422</v>
      </c>
      <c r="D50" s="40" t="s">
        <v>271</v>
      </c>
      <c r="E50" s="51">
        <v>3</v>
      </c>
      <c r="F50" s="51">
        <f t="shared" si="2"/>
        <v>24</v>
      </c>
    </row>
    <row r="51" spans="1:6" x14ac:dyDescent="0.3">
      <c r="A51" s="37" t="s">
        <v>203</v>
      </c>
      <c r="B51" s="48" t="s">
        <v>436</v>
      </c>
      <c r="C51" s="44" t="s">
        <v>423</v>
      </c>
      <c r="D51" s="40" t="s">
        <v>272</v>
      </c>
      <c r="E51" s="51">
        <v>3</v>
      </c>
      <c r="F51" s="51">
        <f t="shared" si="2"/>
        <v>24</v>
      </c>
    </row>
    <row r="52" spans="1:6" x14ac:dyDescent="0.3">
      <c r="A52" s="37" t="s">
        <v>206</v>
      </c>
      <c r="B52" s="48" t="s">
        <v>379</v>
      </c>
      <c r="C52" s="44" t="s">
        <v>23</v>
      </c>
      <c r="D52" s="40" t="s">
        <v>273</v>
      </c>
      <c r="E52" s="51">
        <v>2</v>
      </c>
      <c r="F52" s="51">
        <f t="shared" si="2"/>
        <v>16</v>
      </c>
    </row>
    <row r="53" spans="1:6" x14ac:dyDescent="0.3">
      <c r="A53" s="37" t="s">
        <v>204</v>
      </c>
      <c r="B53" s="48" t="s">
        <v>380</v>
      </c>
      <c r="C53" s="44" t="s">
        <v>61</v>
      </c>
      <c r="D53" s="40" t="s">
        <v>274</v>
      </c>
      <c r="E53" s="51">
        <v>2</v>
      </c>
      <c r="F53" s="51">
        <f t="shared" si="2"/>
        <v>16</v>
      </c>
    </row>
    <row r="54" spans="1:6" x14ac:dyDescent="0.3">
      <c r="A54" s="37" t="s">
        <v>180</v>
      </c>
      <c r="B54" s="48" t="s">
        <v>437</v>
      </c>
      <c r="C54" s="44" t="s">
        <v>424</v>
      </c>
      <c r="D54" s="40" t="s">
        <v>275</v>
      </c>
      <c r="E54" s="51">
        <v>3</v>
      </c>
      <c r="F54" s="51">
        <f t="shared" si="2"/>
        <v>24</v>
      </c>
    </row>
    <row r="55" spans="1:6" x14ac:dyDescent="0.3">
      <c r="A55" s="37" t="s">
        <v>202</v>
      </c>
      <c r="B55" s="48" t="s">
        <v>438</v>
      </c>
      <c r="C55" s="44" t="s">
        <v>425</v>
      </c>
      <c r="D55" s="40" t="s">
        <v>276</v>
      </c>
      <c r="E55" s="51">
        <v>3</v>
      </c>
      <c r="F55" s="51">
        <f t="shared" si="2"/>
        <v>24</v>
      </c>
    </row>
    <row r="56" spans="1:6" x14ac:dyDescent="0.3">
      <c r="A56" s="37" t="s">
        <v>212</v>
      </c>
      <c r="B56" s="48" t="s">
        <v>375</v>
      </c>
      <c r="C56" s="44" t="s">
        <v>66</v>
      </c>
      <c r="D56" s="40" t="s">
        <v>277</v>
      </c>
      <c r="E56" s="51">
        <v>2</v>
      </c>
      <c r="F56" s="51">
        <f t="shared" si="2"/>
        <v>16</v>
      </c>
    </row>
    <row r="57" spans="1:6" x14ac:dyDescent="0.3">
      <c r="A57" s="37" t="s">
        <v>174</v>
      </c>
      <c r="B57" s="48" t="s">
        <v>376</v>
      </c>
      <c r="C57" s="44" t="s">
        <v>24</v>
      </c>
      <c r="D57" s="40" t="s">
        <v>374</v>
      </c>
      <c r="E57" s="51">
        <v>2</v>
      </c>
      <c r="F57" s="51">
        <f t="shared" si="2"/>
        <v>16</v>
      </c>
    </row>
    <row r="58" spans="1:6" x14ac:dyDescent="0.3">
      <c r="A58" s="37" t="s">
        <v>198</v>
      </c>
      <c r="B58" s="48" t="s">
        <v>439</v>
      </c>
      <c r="C58" s="44" t="s">
        <v>27</v>
      </c>
      <c r="D58" s="40" t="s">
        <v>362</v>
      </c>
      <c r="E58" s="51">
        <v>2</v>
      </c>
      <c r="F58" s="51">
        <f t="shared" si="2"/>
        <v>16</v>
      </c>
    </row>
    <row r="59" spans="1:6" x14ac:dyDescent="0.3">
      <c r="A59" s="125" t="s">
        <v>630</v>
      </c>
      <c r="B59" s="126" t="s">
        <v>616</v>
      </c>
      <c r="C59" s="127" t="s">
        <v>631</v>
      </c>
      <c r="D59" s="128" t="s">
        <v>632</v>
      </c>
      <c r="E59" s="129">
        <v>4</v>
      </c>
      <c r="F59" s="129">
        <v>32</v>
      </c>
    </row>
    <row r="60" spans="1:6" x14ac:dyDescent="0.3">
      <c r="A60" s="125" t="s">
        <v>633</v>
      </c>
      <c r="B60" s="126" t="s">
        <v>634</v>
      </c>
      <c r="C60" s="127" t="s">
        <v>637</v>
      </c>
      <c r="D60" s="128" t="s">
        <v>635</v>
      </c>
      <c r="E60" s="129">
        <v>2</v>
      </c>
      <c r="F60" s="129">
        <v>16</v>
      </c>
    </row>
    <row r="61" spans="1:6" x14ac:dyDescent="0.3">
      <c r="A61" s="125" t="s">
        <v>639</v>
      </c>
      <c r="B61" s="126" t="s">
        <v>642</v>
      </c>
      <c r="C61" s="127" t="s">
        <v>640</v>
      </c>
      <c r="D61" s="128" t="s">
        <v>641</v>
      </c>
      <c r="E61" s="129">
        <v>4</v>
      </c>
      <c r="F61" s="129">
        <v>32</v>
      </c>
    </row>
    <row r="62" spans="1:6" x14ac:dyDescent="0.3">
      <c r="A62" s="125" t="s">
        <v>646</v>
      </c>
      <c r="B62" s="126" t="s">
        <v>647</v>
      </c>
      <c r="C62" s="127" t="s">
        <v>644</v>
      </c>
      <c r="D62" s="128" t="s">
        <v>645</v>
      </c>
      <c r="E62" s="129">
        <v>4</v>
      </c>
      <c r="F62" s="129">
        <v>32</v>
      </c>
    </row>
    <row r="63" spans="1:6" x14ac:dyDescent="0.3">
      <c r="A63" s="125" t="s">
        <v>650</v>
      </c>
      <c r="B63" s="126" t="s">
        <v>653</v>
      </c>
      <c r="C63" s="127" t="s">
        <v>651</v>
      </c>
      <c r="D63" s="128" t="s">
        <v>652</v>
      </c>
      <c r="E63" s="129">
        <v>4</v>
      </c>
      <c r="F63" s="129">
        <v>32</v>
      </c>
    </row>
    <row r="64" spans="1:6" x14ac:dyDescent="0.3">
      <c r="A64" s="125" t="s">
        <v>659</v>
      </c>
      <c r="B64" s="126" t="s">
        <v>660</v>
      </c>
      <c r="C64" s="127" t="s">
        <v>721</v>
      </c>
      <c r="D64" s="128" t="s">
        <v>661</v>
      </c>
      <c r="E64" s="129">
        <v>19</v>
      </c>
      <c r="F64" s="129">
        <v>152</v>
      </c>
    </row>
    <row r="65" spans="1:6" x14ac:dyDescent="0.3">
      <c r="A65" s="394" t="s">
        <v>775</v>
      </c>
      <c r="B65" s="395" t="s">
        <v>776</v>
      </c>
      <c r="C65" s="396" t="s">
        <v>777</v>
      </c>
      <c r="D65" s="397" t="s">
        <v>778</v>
      </c>
      <c r="E65" s="398">
        <v>4</v>
      </c>
      <c r="F65" s="398">
        <v>32</v>
      </c>
    </row>
    <row r="66" spans="1:6" ht="28.8" x14ac:dyDescent="0.3">
      <c r="A66" s="394" t="s">
        <v>779</v>
      </c>
      <c r="B66" s="395" t="s">
        <v>780</v>
      </c>
      <c r="C66" s="396" t="s">
        <v>781</v>
      </c>
      <c r="D66" s="397" t="s">
        <v>782</v>
      </c>
      <c r="E66" s="398">
        <v>5</v>
      </c>
      <c r="F66" s="398">
        <v>40</v>
      </c>
    </row>
  </sheetData>
  <pageMargins left="0.70866141732283472" right="0.70866141732283472" top="0.78740157480314965" bottom="0.78740157480314965" header="0.31496062992125984" footer="0.31496062992125984"/>
  <pageSetup paperSize="9" scale="82" fitToHeight="0" orientation="portrait" r:id="rId1"/>
  <headerFooter>
    <oddFooter>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Button.Main">
                <anchor moveWithCells="1" sizeWithCells="1">
                  <from>
                    <xdr:col>6</xdr:col>
                    <xdr:colOff>777240</xdr:colOff>
                    <xdr:row>2</xdr:row>
                    <xdr:rowOff>15240</xdr:rowOff>
                  </from>
                  <to>
                    <xdr:col>8</xdr:col>
                    <xdr:colOff>396240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3">
    <tabColor rgb="FFFFC00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28</v>
      </c>
      <c r="B1" s="95"/>
      <c r="C1" s="96"/>
      <c r="D1" s="95"/>
      <c r="E1" s="97" t="s">
        <v>29</v>
      </c>
      <c r="F1" s="96"/>
      <c r="G1" s="96" t="str">
        <f>'Decoder Table'!A38</f>
        <v>0xCB</v>
      </c>
      <c r="H1" s="96"/>
      <c r="I1" s="97" t="s">
        <v>471</v>
      </c>
      <c r="J1" s="96"/>
      <c r="K1" s="96"/>
      <c r="L1" s="96" t="str">
        <f>CONCATENATE("0x",'Decoder Table'!B38)</f>
        <v>0x2C8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472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2C8</v>
      </c>
      <c r="B5" s="68" t="s">
        <v>462</v>
      </c>
      <c r="C5" s="65"/>
      <c r="D5" s="65"/>
      <c r="E5" s="65"/>
      <c r="F5" s="65"/>
      <c r="G5" s="68"/>
      <c r="H5" s="66"/>
      <c r="I5" s="65"/>
      <c r="J5" s="65"/>
      <c r="K5" s="68"/>
      <c r="L5" s="69"/>
      <c r="M5" s="70"/>
      <c r="N5" s="71"/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2C9</v>
      </c>
      <c r="B6" s="72" t="s">
        <v>462</v>
      </c>
      <c r="C6" s="66"/>
      <c r="D6" s="66"/>
      <c r="E6" s="65"/>
      <c r="F6" s="66"/>
      <c r="G6" s="72"/>
      <c r="H6" s="66"/>
      <c r="I6" s="65"/>
      <c r="J6" s="66"/>
      <c r="K6" s="72"/>
      <c r="L6" s="73"/>
      <c r="M6" s="70"/>
      <c r="N6" s="74"/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2CA</v>
      </c>
      <c r="B7" s="72" t="s">
        <v>462</v>
      </c>
      <c r="C7" s="66"/>
      <c r="D7" s="66"/>
      <c r="E7" s="65"/>
      <c r="F7" s="66"/>
      <c r="G7" s="72"/>
      <c r="H7" s="66"/>
      <c r="I7" s="65"/>
      <c r="J7" s="66"/>
      <c r="K7" s="72"/>
      <c r="L7" s="73"/>
      <c r="M7" s="70"/>
      <c r="N7" s="74"/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2CB</v>
      </c>
      <c r="B8" s="72" t="s">
        <v>462</v>
      </c>
      <c r="C8" s="66"/>
      <c r="D8" s="66"/>
      <c r="E8" s="65"/>
      <c r="F8" s="66"/>
      <c r="G8" s="72"/>
      <c r="H8" s="66"/>
      <c r="I8" s="65"/>
      <c r="J8" s="66"/>
      <c r="K8" s="72"/>
      <c r="L8" s="73"/>
      <c r="M8" s="70"/>
      <c r="N8" s="74"/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2CC</v>
      </c>
      <c r="B9" s="72" t="s">
        <v>462</v>
      </c>
      <c r="C9" s="66"/>
      <c r="D9" s="66"/>
      <c r="E9" s="65"/>
      <c r="F9" s="66"/>
      <c r="G9" s="72"/>
      <c r="H9" s="66"/>
      <c r="I9" s="65"/>
      <c r="J9" s="66"/>
      <c r="K9" s="72"/>
      <c r="L9" s="73"/>
      <c r="M9" s="70"/>
      <c r="N9" s="74"/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2CD</v>
      </c>
      <c r="B10" s="72" t="s">
        <v>462</v>
      </c>
      <c r="C10" s="66"/>
      <c r="D10" s="66"/>
      <c r="E10" s="65"/>
      <c r="F10" s="66"/>
      <c r="G10" s="72"/>
      <c r="H10" s="66"/>
      <c r="I10" s="65"/>
      <c r="J10" s="66"/>
      <c r="K10" s="72"/>
      <c r="L10" s="73"/>
      <c r="M10" s="70"/>
      <c r="N10" s="74"/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2CE</v>
      </c>
      <c r="B11" s="72" t="s">
        <v>462</v>
      </c>
      <c r="C11" s="66"/>
      <c r="D11" s="66"/>
      <c r="E11" s="65"/>
      <c r="F11" s="66"/>
      <c r="G11" s="72"/>
      <c r="H11" s="66"/>
      <c r="I11" s="65"/>
      <c r="J11" s="66"/>
      <c r="K11" s="72"/>
      <c r="L11" s="73"/>
      <c r="M11" s="70"/>
      <c r="N11" s="74"/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2CF</v>
      </c>
      <c r="B12" s="79" t="s">
        <v>35</v>
      </c>
      <c r="C12" s="67"/>
      <c r="D12" s="67"/>
      <c r="E12" s="99"/>
      <c r="F12" s="67"/>
      <c r="G12" s="79"/>
      <c r="H12" s="67"/>
      <c r="I12" s="99"/>
      <c r="J12" s="67"/>
      <c r="K12" s="79"/>
      <c r="L12" s="80"/>
      <c r="M12" s="100"/>
      <c r="N12" s="101"/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I5:I12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showErrorMessage="1" errorTitle="Next MIP Address" error="Empty field not allowed" sqref="B5">
      <formula1>"Next,Decode,Fetch"</formula1>
    </dataValidation>
    <dataValidation type="list" showInputMessage="1" showErrorMessage="1" sqref="K5:K12">
      <formula1>"R,W"</formula1>
    </dataValidation>
    <dataValidation type="list" showInputMessage="1" showErrorMessage="1" sqref="L5:L12">
      <formula1>"IO,MEM"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G5:G12">
      <formula1>"S,O,Z,NS,NO,NZ"</formula1>
    </dataValidation>
    <dataValidation type="list" showInputMessage="1" showErrorMessage="1" sqref="D5:D12">
      <formula1>"Enable"</formula1>
    </dataValidation>
    <dataValidation type="list" allowBlank="1" showInputMessage="1" showErrorMessage="1" sqref="B6:B12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5">
    <tabColor rgb="FFFFC00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167</v>
      </c>
      <c r="B1" s="95"/>
      <c r="C1" s="96"/>
      <c r="D1" s="95"/>
      <c r="E1" s="97" t="s">
        <v>29</v>
      </c>
      <c r="F1" s="96"/>
      <c r="G1" s="96" t="str">
        <f>'Decoder Table'!A7</f>
        <v>0x9A</v>
      </c>
      <c r="H1" s="96"/>
      <c r="I1" s="97" t="s">
        <v>471</v>
      </c>
      <c r="J1" s="96"/>
      <c r="K1" s="96"/>
      <c r="L1" s="96" t="str">
        <f>CONCATENATE("0x",'Decoder Table'!B7)</f>
        <v>0x028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028</v>
      </c>
      <c r="B5" s="68" t="s">
        <v>462</v>
      </c>
      <c r="C5" s="65"/>
      <c r="D5" s="65"/>
      <c r="E5" s="65"/>
      <c r="F5" s="65"/>
      <c r="G5" s="68"/>
      <c r="H5" s="66"/>
      <c r="I5" s="65"/>
      <c r="J5" s="65"/>
      <c r="K5" s="68"/>
      <c r="L5" s="69"/>
      <c r="M5" s="70"/>
      <c r="N5" s="71"/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029</v>
      </c>
      <c r="B6" s="72" t="s">
        <v>462</v>
      </c>
      <c r="C6" s="66"/>
      <c r="D6" s="66"/>
      <c r="E6" s="65"/>
      <c r="F6" s="66"/>
      <c r="G6" s="72"/>
      <c r="H6" s="66"/>
      <c r="I6" s="65"/>
      <c r="J6" s="66"/>
      <c r="K6" s="72"/>
      <c r="L6" s="73"/>
      <c r="M6" s="70"/>
      <c r="N6" s="74"/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02A</v>
      </c>
      <c r="B7" s="72" t="s">
        <v>462</v>
      </c>
      <c r="C7" s="66"/>
      <c r="D7" s="66"/>
      <c r="E7" s="65"/>
      <c r="F7" s="66"/>
      <c r="G7" s="72"/>
      <c r="H7" s="66"/>
      <c r="I7" s="65"/>
      <c r="J7" s="66"/>
      <c r="K7" s="72"/>
      <c r="L7" s="73"/>
      <c r="M7" s="70"/>
      <c r="N7" s="74"/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02B</v>
      </c>
      <c r="B8" s="72" t="s">
        <v>462</v>
      </c>
      <c r="C8" s="66"/>
      <c r="D8" s="66"/>
      <c r="E8" s="65"/>
      <c r="F8" s="66"/>
      <c r="G8" s="72"/>
      <c r="H8" s="66"/>
      <c r="I8" s="65"/>
      <c r="J8" s="66"/>
      <c r="K8" s="72"/>
      <c r="L8" s="73"/>
      <c r="M8" s="70"/>
      <c r="N8" s="74"/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02C</v>
      </c>
      <c r="B9" s="72" t="s">
        <v>462</v>
      </c>
      <c r="C9" s="66"/>
      <c r="D9" s="66"/>
      <c r="E9" s="65"/>
      <c r="F9" s="66"/>
      <c r="G9" s="72"/>
      <c r="H9" s="66"/>
      <c r="I9" s="65"/>
      <c r="J9" s="66"/>
      <c r="K9" s="72"/>
      <c r="L9" s="73"/>
      <c r="M9" s="70"/>
      <c r="N9" s="74"/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02D</v>
      </c>
      <c r="B10" s="72" t="s">
        <v>462</v>
      </c>
      <c r="C10" s="66"/>
      <c r="D10" s="66"/>
      <c r="E10" s="65"/>
      <c r="F10" s="66"/>
      <c r="G10" s="72"/>
      <c r="H10" s="66"/>
      <c r="I10" s="65"/>
      <c r="J10" s="66"/>
      <c r="K10" s="72"/>
      <c r="L10" s="73"/>
      <c r="M10" s="70"/>
      <c r="N10" s="74"/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02E</v>
      </c>
      <c r="B11" s="72" t="s">
        <v>462</v>
      </c>
      <c r="C11" s="66"/>
      <c r="D11" s="66"/>
      <c r="E11" s="65"/>
      <c r="F11" s="66"/>
      <c r="G11" s="72"/>
      <c r="H11" s="66"/>
      <c r="I11" s="65"/>
      <c r="J11" s="66"/>
      <c r="K11" s="72"/>
      <c r="L11" s="73"/>
      <c r="M11" s="70"/>
      <c r="N11" s="74"/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02F</v>
      </c>
      <c r="B12" s="72" t="s">
        <v>462</v>
      </c>
      <c r="C12" s="66"/>
      <c r="D12" s="66"/>
      <c r="E12" s="65"/>
      <c r="F12" s="66"/>
      <c r="G12" s="72"/>
      <c r="H12" s="66"/>
      <c r="I12" s="65"/>
      <c r="J12" s="66"/>
      <c r="K12" s="72"/>
      <c r="L12" s="73"/>
      <c r="M12" s="70"/>
      <c r="N12" s="75"/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/>
      <c r="D13" s="84"/>
      <c r="E13" s="84"/>
      <c r="F13" s="84"/>
      <c r="G13" s="83"/>
      <c r="H13" s="84"/>
      <c r="I13" s="84"/>
      <c r="J13" s="84"/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030</v>
      </c>
      <c r="B14" s="68" t="s">
        <v>462</v>
      </c>
      <c r="C14" s="65"/>
      <c r="D14" s="65"/>
      <c r="E14" s="65"/>
      <c r="F14" s="65"/>
      <c r="G14" s="68"/>
      <c r="H14" s="66"/>
      <c r="I14" s="65"/>
      <c r="J14" s="65"/>
      <c r="K14" s="68"/>
      <c r="L14" s="69"/>
      <c r="M14" s="70"/>
      <c r="N14" s="76"/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031</v>
      </c>
      <c r="B15" s="68" t="s">
        <v>462</v>
      </c>
      <c r="C15" s="66"/>
      <c r="D15" s="66"/>
      <c r="E15" s="65"/>
      <c r="F15" s="66"/>
      <c r="G15" s="72"/>
      <c r="H15" s="66"/>
      <c r="I15" s="65"/>
      <c r="J15" s="66"/>
      <c r="K15" s="72"/>
      <c r="L15" s="73"/>
      <c r="M15" s="70"/>
      <c r="N15" s="77"/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032</v>
      </c>
      <c r="B16" s="68" t="s">
        <v>462</v>
      </c>
      <c r="C16" s="66"/>
      <c r="D16" s="66"/>
      <c r="E16" s="65"/>
      <c r="F16" s="66"/>
      <c r="G16" s="72"/>
      <c r="H16" s="66"/>
      <c r="I16" s="65"/>
      <c r="J16" s="66"/>
      <c r="K16" s="72"/>
      <c r="L16" s="73"/>
      <c r="M16" s="70"/>
      <c r="N16" s="77"/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033</v>
      </c>
      <c r="B17" s="68" t="s">
        <v>462</v>
      </c>
      <c r="C17" s="66"/>
      <c r="D17" s="66"/>
      <c r="E17" s="65"/>
      <c r="F17" s="66"/>
      <c r="G17" s="72"/>
      <c r="H17" s="66"/>
      <c r="I17" s="65"/>
      <c r="J17" s="66"/>
      <c r="K17" s="72"/>
      <c r="L17" s="73"/>
      <c r="M17" s="70"/>
      <c r="N17" s="77"/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034</v>
      </c>
      <c r="B18" s="68" t="s">
        <v>462</v>
      </c>
      <c r="C18" s="66"/>
      <c r="D18" s="66"/>
      <c r="E18" s="65"/>
      <c r="F18" s="66"/>
      <c r="G18" s="72"/>
      <c r="H18" s="66"/>
      <c r="I18" s="65"/>
      <c r="J18" s="66"/>
      <c r="K18" s="72"/>
      <c r="L18" s="73"/>
      <c r="M18" s="70"/>
      <c r="N18" s="77"/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035</v>
      </c>
      <c r="B19" s="68" t="s">
        <v>462</v>
      </c>
      <c r="C19" s="66"/>
      <c r="D19" s="66"/>
      <c r="E19" s="65"/>
      <c r="F19" s="66"/>
      <c r="G19" s="72"/>
      <c r="H19" s="66"/>
      <c r="I19" s="65"/>
      <c r="J19" s="66"/>
      <c r="K19" s="72"/>
      <c r="L19" s="73"/>
      <c r="M19" s="70"/>
      <c r="N19" s="77"/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036</v>
      </c>
      <c r="B20" s="68" t="s">
        <v>462</v>
      </c>
      <c r="C20" s="66"/>
      <c r="D20" s="66"/>
      <c r="E20" s="65"/>
      <c r="F20" s="66"/>
      <c r="G20" s="72"/>
      <c r="H20" s="66"/>
      <c r="I20" s="65"/>
      <c r="J20" s="66"/>
      <c r="K20" s="72"/>
      <c r="L20" s="73"/>
      <c r="M20" s="70"/>
      <c r="N20" s="77"/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037</v>
      </c>
      <c r="B21" s="79" t="s">
        <v>35</v>
      </c>
      <c r="C21" s="67"/>
      <c r="D21" s="67"/>
      <c r="E21" s="67"/>
      <c r="F21" s="67"/>
      <c r="G21" s="79"/>
      <c r="H21" s="67"/>
      <c r="I21" s="67"/>
      <c r="J21" s="67"/>
      <c r="K21" s="79"/>
      <c r="L21" s="80"/>
      <c r="M21" s="100"/>
      <c r="N21" s="81"/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I5:I12 I14:I21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showErrorMessage="1" errorTitle="Next MIP Address" error="Empty field not allowed" sqref="B5 B14:B20">
      <formula1>"Next,Decode,Fetch"</formula1>
    </dataValidation>
    <dataValidation type="list" showInputMessage="1" showErrorMessage="1" sqref="K5:K12 K14:K21">
      <formula1>"R,W"</formula1>
    </dataValidation>
    <dataValidation type="list" showInputMessage="1" showErrorMessage="1" sqref="L5:L12 L14:L21">
      <formula1>"IO,MEM"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G5:G12 G14:G21">
      <formula1>"S,O,Z,NS,NO,NZ"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B6:B12 B21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>
    <tabColor rgb="FFFFC000"/>
    <pageSetUpPr fitToPage="1"/>
  </sheetPr>
  <dimension ref="A1:AK47"/>
  <sheetViews>
    <sheetView zoomScale="70" zoomScaleNormal="70" workbookViewId="0">
      <pane ySplit="2" topLeftCell="A3" activePane="bottomLeft" state="frozen"/>
      <selection activeCell="G1" sqref="G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168</v>
      </c>
      <c r="B1" s="95"/>
      <c r="C1" s="96"/>
      <c r="D1" s="95"/>
      <c r="E1" s="97" t="s">
        <v>29</v>
      </c>
      <c r="F1" s="96"/>
      <c r="G1" s="96" t="str">
        <f>'Decoder Table'!A11</f>
        <v>0xA0</v>
      </c>
      <c r="H1" s="96"/>
      <c r="I1" s="97" t="s">
        <v>471</v>
      </c>
      <c r="J1" s="96"/>
      <c r="K1" s="96"/>
      <c r="L1" s="96" t="str">
        <f>CONCATENATE("0x",'Decoder Table'!B11)</f>
        <v>0x068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068</v>
      </c>
      <c r="B5" s="68" t="s">
        <v>462</v>
      </c>
      <c r="C5" s="65"/>
      <c r="D5" s="65"/>
      <c r="E5" s="65"/>
      <c r="F5" s="65"/>
      <c r="G5" s="68"/>
      <c r="H5" s="66"/>
      <c r="I5" s="65"/>
      <c r="J5" s="65"/>
      <c r="K5" s="68"/>
      <c r="L5" s="69"/>
      <c r="M5" s="70"/>
      <c r="N5" s="71"/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069</v>
      </c>
      <c r="B6" s="72" t="s">
        <v>462</v>
      </c>
      <c r="C6" s="66"/>
      <c r="D6" s="66"/>
      <c r="E6" s="65"/>
      <c r="F6" s="66"/>
      <c r="G6" s="72"/>
      <c r="H6" s="66"/>
      <c r="I6" s="65"/>
      <c r="J6" s="66"/>
      <c r="K6" s="72"/>
      <c r="L6" s="73"/>
      <c r="M6" s="70"/>
      <c r="N6" s="74"/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06A</v>
      </c>
      <c r="B7" s="72" t="s">
        <v>462</v>
      </c>
      <c r="C7" s="66"/>
      <c r="D7" s="66"/>
      <c r="E7" s="65"/>
      <c r="F7" s="66"/>
      <c r="G7" s="72"/>
      <c r="H7" s="66"/>
      <c r="I7" s="65"/>
      <c r="J7" s="66"/>
      <c r="K7" s="72"/>
      <c r="L7" s="73"/>
      <c r="M7" s="70"/>
      <c r="N7" s="74"/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06B</v>
      </c>
      <c r="B8" s="72" t="s">
        <v>462</v>
      </c>
      <c r="C8" s="66"/>
      <c r="D8" s="66"/>
      <c r="E8" s="65"/>
      <c r="F8" s="66"/>
      <c r="G8" s="72"/>
      <c r="H8" s="66"/>
      <c r="I8" s="65"/>
      <c r="J8" s="66"/>
      <c r="K8" s="72"/>
      <c r="L8" s="73"/>
      <c r="M8" s="70"/>
      <c r="N8" s="74"/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06C</v>
      </c>
      <c r="B9" s="72" t="s">
        <v>462</v>
      </c>
      <c r="C9" s="66"/>
      <c r="D9" s="66"/>
      <c r="E9" s="65"/>
      <c r="F9" s="66"/>
      <c r="G9" s="72"/>
      <c r="H9" s="66"/>
      <c r="I9" s="65"/>
      <c r="J9" s="66"/>
      <c r="K9" s="72"/>
      <c r="L9" s="73"/>
      <c r="M9" s="70"/>
      <c r="N9" s="74"/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06D</v>
      </c>
      <c r="B10" s="72" t="s">
        <v>462</v>
      </c>
      <c r="C10" s="66"/>
      <c r="D10" s="66"/>
      <c r="E10" s="65"/>
      <c r="F10" s="66"/>
      <c r="G10" s="72"/>
      <c r="H10" s="66"/>
      <c r="I10" s="65"/>
      <c r="J10" s="66"/>
      <c r="K10" s="72"/>
      <c r="L10" s="73"/>
      <c r="M10" s="70"/>
      <c r="N10" s="74"/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06E</v>
      </c>
      <c r="B11" s="72" t="s">
        <v>462</v>
      </c>
      <c r="C11" s="66"/>
      <c r="D11" s="66"/>
      <c r="E11" s="65"/>
      <c r="F11" s="66"/>
      <c r="G11" s="72"/>
      <c r="H11" s="66"/>
      <c r="I11" s="65"/>
      <c r="J11" s="66"/>
      <c r="K11" s="72"/>
      <c r="L11" s="73"/>
      <c r="M11" s="70"/>
      <c r="N11" s="74"/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06F</v>
      </c>
      <c r="B12" s="72" t="s">
        <v>462</v>
      </c>
      <c r="C12" s="66"/>
      <c r="D12" s="66"/>
      <c r="E12" s="65"/>
      <c r="F12" s="66"/>
      <c r="G12" s="72"/>
      <c r="H12" s="66"/>
      <c r="I12" s="65"/>
      <c r="J12" s="66"/>
      <c r="K12" s="72"/>
      <c r="L12" s="73"/>
      <c r="M12" s="70"/>
      <c r="N12" s="75"/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/>
      <c r="D13" s="84"/>
      <c r="E13" s="84"/>
      <c r="F13" s="84"/>
      <c r="G13" s="83"/>
      <c r="H13" s="84"/>
      <c r="I13" s="84"/>
      <c r="J13" s="84"/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070</v>
      </c>
      <c r="B14" s="68" t="s">
        <v>462</v>
      </c>
      <c r="C14" s="65"/>
      <c r="D14" s="65"/>
      <c r="E14" s="65"/>
      <c r="F14" s="65"/>
      <c r="G14" s="68"/>
      <c r="H14" s="66"/>
      <c r="I14" s="65"/>
      <c r="J14" s="65"/>
      <c r="K14" s="68"/>
      <c r="L14" s="69"/>
      <c r="M14" s="70"/>
      <c r="N14" s="76"/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071</v>
      </c>
      <c r="B15" s="68" t="s">
        <v>462</v>
      </c>
      <c r="C15" s="66"/>
      <c r="D15" s="66"/>
      <c r="E15" s="65"/>
      <c r="F15" s="66"/>
      <c r="G15" s="72"/>
      <c r="H15" s="66"/>
      <c r="I15" s="65"/>
      <c r="J15" s="66"/>
      <c r="K15" s="72"/>
      <c r="L15" s="73"/>
      <c r="M15" s="70"/>
      <c r="N15" s="77"/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072</v>
      </c>
      <c r="B16" s="68" t="s">
        <v>462</v>
      </c>
      <c r="C16" s="66"/>
      <c r="D16" s="66"/>
      <c r="E16" s="65"/>
      <c r="F16" s="66"/>
      <c r="G16" s="72"/>
      <c r="H16" s="66"/>
      <c r="I16" s="65"/>
      <c r="J16" s="66"/>
      <c r="K16" s="72"/>
      <c r="L16" s="73"/>
      <c r="M16" s="70"/>
      <c r="N16" s="77"/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073</v>
      </c>
      <c r="B17" s="68" t="s">
        <v>462</v>
      </c>
      <c r="C17" s="66"/>
      <c r="D17" s="66"/>
      <c r="E17" s="65"/>
      <c r="F17" s="66"/>
      <c r="G17" s="72"/>
      <c r="H17" s="66"/>
      <c r="I17" s="65"/>
      <c r="J17" s="66"/>
      <c r="K17" s="72"/>
      <c r="L17" s="73"/>
      <c r="M17" s="70"/>
      <c r="N17" s="77"/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074</v>
      </c>
      <c r="B18" s="68" t="s">
        <v>462</v>
      </c>
      <c r="C18" s="66"/>
      <c r="D18" s="66"/>
      <c r="E18" s="65"/>
      <c r="F18" s="66"/>
      <c r="G18" s="72"/>
      <c r="H18" s="66"/>
      <c r="I18" s="65"/>
      <c r="J18" s="66"/>
      <c r="K18" s="72"/>
      <c r="L18" s="73"/>
      <c r="M18" s="70"/>
      <c r="N18" s="77"/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075</v>
      </c>
      <c r="B19" s="68" t="s">
        <v>462</v>
      </c>
      <c r="C19" s="66"/>
      <c r="D19" s="66"/>
      <c r="E19" s="65"/>
      <c r="F19" s="66"/>
      <c r="G19" s="72"/>
      <c r="H19" s="66"/>
      <c r="I19" s="65"/>
      <c r="J19" s="66"/>
      <c r="K19" s="72"/>
      <c r="L19" s="73"/>
      <c r="M19" s="70"/>
      <c r="N19" s="77"/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076</v>
      </c>
      <c r="B20" s="68" t="s">
        <v>462</v>
      </c>
      <c r="C20" s="66"/>
      <c r="D20" s="66"/>
      <c r="E20" s="65"/>
      <c r="F20" s="66"/>
      <c r="G20" s="72"/>
      <c r="H20" s="66"/>
      <c r="I20" s="65"/>
      <c r="J20" s="66"/>
      <c r="K20" s="72"/>
      <c r="L20" s="73"/>
      <c r="M20" s="70"/>
      <c r="N20" s="77"/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077</v>
      </c>
      <c r="B21" s="68" t="s">
        <v>462</v>
      </c>
      <c r="C21" s="66"/>
      <c r="D21" s="66"/>
      <c r="E21" s="65"/>
      <c r="F21" s="66"/>
      <c r="G21" s="72"/>
      <c r="H21" s="66"/>
      <c r="I21" s="65"/>
      <c r="J21" s="66"/>
      <c r="K21" s="72"/>
      <c r="L21" s="73"/>
      <c r="M21" s="70"/>
      <c r="N21" s="78"/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/>
      <c r="D22" s="84"/>
      <c r="E22" s="84"/>
      <c r="F22" s="84"/>
      <c r="G22" s="83"/>
      <c r="H22" s="84"/>
      <c r="I22" s="84"/>
      <c r="J22" s="84"/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078</v>
      </c>
      <c r="B23" s="68" t="s">
        <v>462</v>
      </c>
      <c r="C23" s="65"/>
      <c r="D23" s="65"/>
      <c r="E23" s="65"/>
      <c r="F23" s="65"/>
      <c r="G23" s="68"/>
      <c r="H23" s="66"/>
      <c r="I23" s="65"/>
      <c r="J23" s="65"/>
      <c r="K23" s="68"/>
      <c r="L23" s="69"/>
      <c r="M23" s="70"/>
      <c r="N23" s="76"/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079</v>
      </c>
      <c r="B24" s="68" t="s">
        <v>462</v>
      </c>
      <c r="C24" s="66"/>
      <c r="D24" s="66"/>
      <c r="E24" s="65"/>
      <c r="F24" s="66"/>
      <c r="G24" s="72"/>
      <c r="H24" s="66"/>
      <c r="I24" s="65"/>
      <c r="J24" s="66"/>
      <c r="K24" s="72"/>
      <c r="L24" s="73"/>
      <c r="M24" s="70"/>
      <c r="N24" s="77"/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07A</v>
      </c>
      <c r="B25" s="68" t="s">
        <v>462</v>
      </c>
      <c r="C25" s="66"/>
      <c r="D25" s="66"/>
      <c r="E25" s="65"/>
      <c r="F25" s="66"/>
      <c r="G25" s="72"/>
      <c r="H25" s="66"/>
      <c r="I25" s="65"/>
      <c r="J25" s="66"/>
      <c r="K25" s="72"/>
      <c r="L25" s="73"/>
      <c r="M25" s="70"/>
      <c r="N25" s="77"/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07B</v>
      </c>
      <c r="B26" s="68" t="s">
        <v>462</v>
      </c>
      <c r="C26" s="66"/>
      <c r="D26" s="66"/>
      <c r="E26" s="65"/>
      <c r="F26" s="66"/>
      <c r="G26" s="72"/>
      <c r="H26" s="66"/>
      <c r="I26" s="65"/>
      <c r="J26" s="66"/>
      <c r="K26" s="72"/>
      <c r="L26" s="73"/>
      <c r="M26" s="70"/>
      <c r="N26" s="77"/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07C</v>
      </c>
      <c r="B27" s="68" t="s">
        <v>462</v>
      </c>
      <c r="C27" s="66"/>
      <c r="D27" s="66"/>
      <c r="E27" s="65"/>
      <c r="F27" s="66"/>
      <c r="G27" s="72"/>
      <c r="H27" s="66"/>
      <c r="I27" s="65"/>
      <c r="J27" s="66"/>
      <c r="K27" s="72"/>
      <c r="L27" s="73"/>
      <c r="M27" s="70"/>
      <c r="N27" s="77"/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07D</v>
      </c>
      <c r="B28" s="68" t="s">
        <v>462</v>
      </c>
      <c r="C28" s="66"/>
      <c r="D28" s="66"/>
      <c r="E28" s="65"/>
      <c r="F28" s="66"/>
      <c r="G28" s="72"/>
      <c r="H28" s="66"/>
      <c r="I28" s="65"/>
      <c r="J28" s="66"/>
      <c r="K28" s="72"/>
      <c r="L28" s="73"/>
      <c r="M28" s="70"/>
      <c r="N28" s="77"/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07E</v>
      </c>
      <c r="B29" s="68" t="s">
        <v>462</v>
      </c>
      <c r="C29" s="66"/>
      <c r="D29" s="66"/>
      <c r="E29" s="65"/>
      <c r="F29" s="66"/>
      <c r="G29" s="72"/>
      <c r="H29" s="66"/>
      <c r="I29" s="65"/>
      <c r="J29" s="66"/>
      <c r="K29" s="72"/>
      <c r="L29" s="73"/>
      <c r="M29" s="70"/>
      <c r="N29" s="77"/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07F</v>
      </c>
      <c r="B30" s="79" t="s">
        <v>35</v>
      </c>
      <c r="C30" s="67"/>
      <c r="D30" s="67"/>
      <c r="E30" s="67"/>
      <c r="F30" s="67"/>
      <c r="G30" s="79"/>
      <c r="H30" s="67"/>
      <c r="I30" s="67"/>
      <c r="J30" s="67"/>
      <c r="K30" s="79"/>
      <c r="L30" s="80"/>
      <c r="M30" s="100"/>
      <c r="N30" s="81"/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I5:I12 I14:I21 I23:I30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showErrorMessage="1" errorTitle="Next MIP Address" error="Empty field not allowed" sqref="B5 B14:B21 B23:B29">
      <formula1>"Next,Decode,Fetch"</formula1>
    </dataValidation>
    <dataValidation type="list" showInputMessage="1" showErrorMessage="1" sqref="K5:K12 K14:K21 K23:K30">
      <formula1>"R,W"</formula1>
    </dataValidation>
    <dataValidation type="list" showInputMessage="1" showErrorMessage="1" sqref="L5:L12 L14:L21 L23:L30">
      <formula1>"IO,MEM"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G5:G12 G14:G21 G23:G30">
      <formula1>"S,O,Z,NS,NO,NZ"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B6:B12 B30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>
    <tabColor rgb="FFFFFF00"/>
    <pageSetUpPr fitToPage="1"/>
  </sheetPr>
  <dimension ref="A1:AK2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35</v>
      </c>
      <c r="B1" s="95"/>
      <c r="C1" s="96"/>
      <c r="D1" s="95"/>
      <c r="E1" s="97" t="s">
        <v>29</v>
      </c>
      <c r="F1" s="96"/>
      <c r="G1" s="102" t="str">
        <f>'Decoder Table'!A4</f>
        <v>Fetch</v>
      </c>
      <c r="H1" s="96"/>
      <c r="I1" s="97" t="s">
        <v>471</v>
      </c>
      <c r="J1" s="96"/>
      <c r="K1" s="96"/>
      <c r="L1" s="96" t="str">
        <f>CONCATENATE("0x",'Decoder Table'!B4)</f>
        <v>0x000</v>
      </c>
      <c r="M1" s="96"/>
      <c r="N1" s="98" t="s">
        <v>744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s="60" customFormat="1" x14ac:dyDescent="0.3">
      <c r="A4" s="63" t="str">
        <f>IF(MID($L$1,3,1)="0",CONCATENATE("00",DEC2HEX(HEX2DEC(MID($L$1,3,3))+0)),DEC2HEX(HEX2DEC(MID($L$1,3,3))+0))</f>
        <v>000</v>
      </c>
      <c r="B4" s="68" t="s">
        <v>462</v>
      </c>
      <c r="C4" s="65" t="s">
        <v>476</v>
      </c>
      <c r="D4" s="65" t="s">
        <v>476</v>
      </c>
      <c r="E4" s="65" t="s">
        <v>476</v>
      </c>
      <c r="F4" s="65" t="s">
        <v>476</v>
      </c>
      <c r="G4" s="68"/>
      <c r="H4" s="66" t="s">
        <v>476</v>
      </c>
      <c r="I4" s="65" t="s">
        <v>312</v>
      </c>
      <c r="J4" s="65" t="s">
        <v>309</v>
      </c>
      <c r="K4" s="68" t="s">
        <v>463</v>
      </c>
      <c r="L4" s="69" t="s">
        <v>464</v>
      </c>
      <c r="M4" s="70" t="s">
        <v>490</v>
      </c>
      <c r="N4" s="71" t="s">
        <v>46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IF(MID($L$1,3,1)="0",CONCATENATE("00",DEC2HEX(HEX2DEC(MID($L$1,3,3))+1)),DEC2HEX(HEX2DEC(MID($L$1,3,3))+1))</f>
        <v>001</v>
      </c>
      <c r="B5" s="72" t="s">
        <v>462</v>
      </c>
      <c r="C5" s="66" t="s">
        <v>476</v>
      </c>
      <c r="D5" s="66" t="s">
        <v>476</v>
      </c>
      <c r="E5" s="65" t="s">
        <v>476</v>
      </c>
      <c r="F5" s="66" t="s">
        <v>476</v>
      </c>
      <c r="G5" s="72"/>
      <c r="H5" s="66" t="s">
        <v>476</v>
      </c>
      <c r="I5" s="65" t="s">
        <v>313</v>
      </c>
      <c r="J5" s="66" t="s">
        <v>487</v>
      </c>
      <c r="K5" s="72" t="s">
        <v>463</v>
      </c>
      <c r="L5" s="73" t="s">
        <v>464</v>
      </c>
      <c r="M5" s="70" t="s">
        <v>14</v>
      </c>
      <c r="N5" s="74" t="s">
        <v>47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IF(MID($L$1,3,1)="0",CONCATENATE("00",DEC2HEX(HEX2DEC(MID($L$1,3,3))+2)),DEC2HEX(HEX2DEC(MID($L$1,3,3))+2))</f>
        <v>002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617</v>
      </c>
      <c r="J6" s="66" t="s">
        <v>314</v>
      </c>
      <c r="K6" s="72" t="s">
        <v>463</v>
      </c>
      <c r="L6" s="73" t="s">
        <v>464</v>
      </c>
      <c r="M6" s="70" t="s">
        <v>491</v>
      </c>
      <c r="N6" s="74" t="s">
        <v>41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IF(MID($L$1,3,1)="0",CONCATENATE("00",DEC2HEX(HEX2DEC(MID($L$1,3,3))+3)),DEC2HEX(HEX2DEC(MID($L$1,3,3))+3))</f>
        <v>003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IF(MID($L$1,3,1)="0",CONCATENATE("00",DEC2HEX(HEX2DEC(MID($L$1,3,3))+4)),DEC2HEX(HEX2DEC(MID($L$1,3,3))+4))</f>
        <v>004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16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IF(MID($L$1,3,1)="0",CONCATENATE("00",DEC2HEX(HEX2DEC(MID($L$1,3,3))+5)),DEC2HEX(HEX2DEC(MID($L$1,3,3))+5))</f>
        <v>005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IF(MID($L$1,3,1)="0",CONCATENATE("00",DEC2HEX(HEX2DEC(MID($L$1,3,3))+6)),DEC2HEX(HEX2DEC(MID($L$1,3,3))+6))</f>
        <v>006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ht="15" thickBot="1" x14ac:dyDescent="0.35">
      <c r="A11" s="64" t="str">
        <f>IF(MID($L$1,3,1)="0",CONCATENATE("00",DEC2HEX(HEX2DEC(MID($L$1,3,3))+7)),DEC2HEX(HEX2DEC(MID($L$1,3,3))+7))</f>
        <v>007</v>
      </c>
      <c r="B11" s="79" t="s">
        <v>619</v>
      </c>
      <c r="C11" s="67" t="s">
        <v>476</v>
      </c>
      <c r="D11" s="67" t="s">
        <v>476</v>
      </c>
      <c r="E11" s="99" t="s">
        <v>476</v>
      </c>
      <c r="F11" s="67" t="s">
        <v>476</v>
      </c>
      <c r="G11" s="79"/>
      <c r="H11" s="67" t="s">
        <v>476</v>
      </c>
      <c r="I11" s="99" t="s">
        <v>476</v>
      </c>
      <c r="J11" s="67" t="s">
        <v>476</v>
      </c>
      <c r="K11" s="79" t="s">
        <v>463</v>
      </c>
      <c r="L11" s="80" t="s">
        <v>464</v>
      </c>
      <c r="M11" s="100" t="s">
        <v>37</v>
      </c>
      <c r="N11" s="101" t="s">
        <v>39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5.6" thickTop="1" thickBot="1" x14ac:dyDescent="0.35">
      <c r="A12" s="82"/>
      <c r="B12" s="83"/>
      <c r="C12" s="84"/>
      <c r="D12" s="84"/>
      <c r="E12" s="84"/>
      <c r="F12" s="84"/>
      <c r="G12" s="83"/>
      <c r="H12" s="84"/>
      <c r="I12" s="84"/>
      <c r="J12" s="84"/>
      <c r="K12" s="83"/>
      <c r="L12" s="83"/>
      <c r="M12" s="85"/>
      <c r="N12" s="86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x14ac:dyDescent="0.3">
      <c r="A13" s="63" t="str">
        <f xml:space="preserve"> IF(MID($L$1,3,1)="0",CONCATENATE("00",DEC2HEX(HEX2DEC(MID($L$1,3,3))+8)),DEC2HEX(HEX2DEC(MID($L$1,3,3))+8))</f>
        <v>008</v>
      </c>
      <c r="B13" s="68"/>
      <c r="C13" s="65"/>
      <c r="D13" s="65"/>
      <c r="E13" s="65"/>
      <c r="F13" s="65"/>
      <c r="G13" s="68"/>
      <c r="H13" s="66"/>
      <c r="I13" s="65"/>
      <c r="J13" s="65"/>
      <c r="K13" s="68"/>
      <c r="L13" s="69"/>
      <c r="M13" s="70"/>
      <c r="N13" s="71" t="s">
        <v>620</v>
      </c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63" t="str">
        <f xml:space="preserve"> IF(MID($L$1,3,1)="0",CONCATENATE("00",DEC2HEX(HEX2DEC(MID($L$1,3,3))+9)),DEC2HEX(HEX2DEC(MID($L$1,3,3))+9))</f>
        <v>009</v>
      </c>
      <c r="B14" s="68"/>
      <c r="C14" s="66"/>
      <c r="D14" s="66"/>
      <c r="E14" s="65"/>
      <c r="F14" s="66"/>
      <c r="G14" s="72"/>
      <c r="H14" s="66"/>
      <c r="I14" s="65"/>
      <c r="J14" s="66"/>
      <c r="K14" s="72"/>
      <c r="L14" s="73"/>
      <c r="M14" s="70"/>
      <c r="N14" s="74" t="s">
        <v>620</v>
      </c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63" t="str">
        <f xml:space="preserve"> IF(MID($L$1,3,1)="0",CONCATENATE("00",DEC2HEX(HEX2DEC(MID($L$1,3,3))+10)),DEC2HEX(HEX2DEC(MID($L$1,3,3))+10))</f>
        <v>00A</v>
      </c>
      <c r="B15" s="68"/>
      <c r="C15" s="66"/>
      <c r="D15" s="66"/>
      <c r="E15" s="65"/>
      <c r="F15" s="66"/>
      <c r="G15" s="72"/>
      <c r="H15" s="66"/>
      <c r="I15" s="65"/>
      <c r="J15" s="66"/>
      <c r="K15" s="72"/>
      <c r="L15" s="73"/>
      <c r="M15" s="70"/>
      <c r="N15" s="74" t="s">
        <v>620</v>
      </c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63" t="str">
        <f xml:space="preserve"> IF(MID($L$1,3,1)="0",CONCATENATE("00",DEC2HEX(HEX2DEC(MID($L$1,3,3))+11)),DEC2HEX(HEX2DEC(MID($L$1,3,3))+11))</f>
        <v>00B</v>
      </c>
      <c r="B16" s="68"/>
      <c r="C16" s="66"/>
      <c r="D16" s="66"/>
      <c r="E16" s="65"/>
      <c r="F16" s="66"/>
      <c r="G16" s="72"/>
      <c r="H16" s="66"/>
      <c r="I16" s="65"/>
      <c r="J16" s="66"/>
      <c r="K16" s="72"/>
      <c r="L16" s="73"/>
      <c r="M16" s="70"/>
      <c r="N16" s="74" t="s">
        <v>620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63" t="str">
        <f xml:space="preserve"> IF(MID($L$1,3,1)="0",CONCATENATE("00",DEC2HEX(HEX2DEC(MID($L$1,3,3))+12)),DEC2HEX(HEX2DEC(MID($L$1,3,3))+12))</f>
        <v>00C</v>
      </c>
      <c r="B17" s="68"/>
      <c r="C17" s="66"/>
      <c r="D17" s="66"/>
      <c r="E17" s="65"/>
      <c r="F17" s="66"/>
      <c r="G17" s="72"/>
      <c r="H17" s="66"/>
      <c r="I17" s="65"/>
      <c r="J17" s="66"/>
      <c r="K17" s="72"/>
      <c r="L17" s="73"/>
      <c r="M17" s="70"/>
      <c r="N17" s="74" t="s">
        <v>620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63" t="str">
        <f xml:space="preserve"> IF(MID($L$1,3,1)="0",CONCATENATE("00",DEC2HEX(HEX2DEC(MID($L$1,3,3))+13)),DEC2HEX(HEX2DEC(MID($L$1,3,3))+13))</f>
        <v>00D</v>
      </c>
      <c r="B18" s="68"/>
      <c r="C18" s="66"/>
      <c r="D18" s="66"/>
      <c r="E18" s="65"/>
      <c r="F18" s="66"/>
      <c r="G18" s="72"/>
      <c r="H18" s="66"/>
      <c r="I18" s="65"/>
      <c r="J18" s="66"/>
      <c r="K18" s="72"/>
      <c r="L18" s="73"/>
      <c r="M18" s="70"/>
      <c r="N18" s="74" t="s">
        <v>620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63" t="str">
        <f xml:space="preserve"> IF(MID($L$1,3,1)="0",CONCATENATE("00",DEC2HEX(HEX2DEC(MID($L$1,3,3))+14)),DEC2HEX(HEX2DEC(MID($L$1,3,3))+14))</f>
        <v>00E</v>
      </c>
      <c r="B19" s="68"/>
      <c r="C19" s="66"/>
      <c r="D19" s="66"/>
      <c r="E19" s="65"/>
      <c r="F19" s="66"/>
      <c r="G19" s="72"/>
      <c r="H19" s="66"/>
      <c r="I19" s="65"/>
      <c r="J19" s="66"/>
      <c r="K19" s="72"/>
      <c r="L19" s="73"/>
      <c r="M19" s="70"/>
      <c r="N19" s="74" t="s">
        <v>620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5" thickBot="1" x14ac:dyDescent="0.35">
      <c r="A20" s="64" t="str">
        <f xml:space="preserve"> IF(MID($L$1,3,1)="0",CONCATENATE("00",DEC2HEX(HEX2DEC(MID($L$1,3,3))+15)),DEC2HEX(HEX2DEC(MID($L$1,3,3))+15))</f>
        <v>00F</v>
      </c>
      <c r="B20" s="79"/>
      <c r="C20" s="67"/>
      <c r="D20" s="67"/>
      <c r="E20" s="67"/>
      <c r="F20" s="67"/>
      <c r="G20" s="79"/>
      <c r="H20" s="67"/>
      <c r="I20" s="67"/>
      <c r="J20" s="67"/>
      <c r="K20" s="79"/>
      <c r="L20" s="80"/>
      <c r="M20" s="100"/>
      <c r="N20" s="101" t="s">
        <v>620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5" thickTop="1" x14ac:dyDescent="0.3">
      <c r="A21" s="5"/>
      <c r="B21" s="5"/>
      <c r="C21" s="5"/>
      <c r="D21" s="5"/>
      <c r="E21" s="2"/>
      <c r="F21" s="5"/>
      <c r="G21" s="5"/>
      <c r="H21" s="2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</sheetData>
  <dataValidations count="12">
    <dataValidation type="list" allowBlank="1" showInputMessage="1" showErrorMessage="1" sqref="B5:B11 B20">
      <formula1>"Next,Decode,Fetch"</formula1>
    </dataValidation>
    <dataValidation type="list" showInputMessage="1" showErrorMessage="1" sqref="D4:D11 D13:D20">
      <formula1>"Enable"</formula1>
    </dataValidation>
    <dataValidation type="list" allowBlank="1" showInputMessage="1" showErrorMessage="1" sqref="G4:G11 G13:G20">
      <formula1>"S,O,Z,NS,NO,NZ"</formula1>
    </dataValidation>
    <dataValidation type="list" allowBlank="1" showInputMessage="1" showErrorMessage="1" sqref="F4:F11 F13:F20">
      <formula1>"Affect"</formula1>
    </dataValidation>
    <dataValidation type="list" allowBlank="1" showInputMessage="1" showErrorMessage="1" sqref="C4:C11 C13:C20">
      <formula1>"Clear"</formula1>
    </dataValidation>
    <dataValidation type="list" allowBlank="1" showInputMessage="1" showErrorMessage="1" sqref="H4:H11 H13:H20">
      <formula1>"ADD,AND,DEC,DIV,INC,MOD,MUL,NOT,OR,ROL,ROR,SHL,SHR,SUB,XOR"</formula1>
    </dataValidation>
    <dataValidation type="list" allowBlank="1" showInputMessage="1" showErrorMessage="1" sqref="J4:J11 J13:J20">
      <formula1>"from DATA,from IP,from MAR,from MBR,from MDR,from RES,from [SEL],from SR"</formula1>
    </dataValidation>
    <dataValidation type="list" showInputMessage="1" showErrorMessage="1" sqref="L4:L11 L13:L20">
      <formula1>"IO,MEM"</formula1>
    </dataValidation>
    <dataValidation type="list" showInputMessage="1" showErrorMessage="1" sqref="K4:K11 K13:K20">
      <formula1>"R,W"</formula1>
    </dataValidation>
    <dataValidation type="list" showErrorMessage="1" errorTitle="Next MIP Address" error="Empty field not allowed" sqref="B4 B13:B19">
      <formula1>"Next,Decode,Fetch"</formula1>
    </dataValidation>
    <dataValidation type="textLength" allowBlank="1" showInputMessage="1" showErrorMessage="1" errorTitle="Hex number required" error="Enter a 3-digit hex number, e.g. 04A, 00C, 7A9" sqref="E4:E11 E13:E20">
      <formula1>3</formula1>
      <formula2>3</formula2>
    </dataValidation>
    <dataValidation type="list" allowBlank="1" showInputMessage="1" showErrorMessage="1" sqref="I4:I11 I13:I2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>
    <tabColor rgb="FFFFFF00"/>
    <pageSetUpPr fitToPage="1"/>
  </sheetPr>
  <dimension ref="A1:AK3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</v>
      </c>
      <c r="B1" s="95"/>
      <c r="C1" s="96"/>
      <c r="D1" s="95"/>
      <c r="E1" s="97" t="s">
        <v>29</v>
      </c>
      <c r="F1" s="96"/>
      <c r="G1" s="102" t="str">
        <f>'Decoder Table'!A5</f>
        <v>HW Int</v>
      </c>
      <c r="H1" s="96"/>
      <c r="I1" s="97" t="s">
        <v>471</v>
      </c>
      <c r="J1" s="96"/>
      <c r="K1" s="96"/>
      <c r="L1" s="96" t="str">
        <f>CONCATENATE("0x",'Decoder Table'!B5)</f>
        <v>0x010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746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748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s="60" customFormat="1" x14ac:dyDescent="0.3">
      <c r="A4" s="63" t="str">
        <f>IF(MID($L$1,3,1)="0",CONCATENATE("0",DEC2HEX(HEX2DEC(MID($L$1,3,3))+0)),DEC2HEX(HEX2DEC(MID($L$1,3,3))+0))</f>
        <v>010</v>
      </c>
      <c r="B4" s="68" t="s">
        <v>462</v>
      </c>
      <c r="C4" s="65" t="s">
        <v>476</v>
      </c>
      <c r="D4" s="65" t="s">
        <v>548</v>
      </c>
      <c r="E4" s="65" t="s">
        <v>4</v>
      </c>
      <c r="F4" s="65" t="s">
        <v>476</v>
      </c>
      <c r="G4" s="68"/>
      <c r="H4" s="66" t="s">
        <v>476</v>
      </c>
      <c r="I4" s="65" t="s">
        <v>312</v>
      </c>
      <c r="J4" s="65" t="s">
        <v>476</v>
      </c>
      <c r="K4" s="68" t="s">
        <v>463</v>
      </c>
      <c r="L4" s="69" t="s">
        <v>464</v>
      </c>
      <c r="M4" s="70" t="s">
        <v>549</v>
      </c>
      <c r="N4" s="71" t="s">
        <v>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IF(MID($L$1,3,1)="0",CONCATENATE("0",DEC2HEX(HEX2DEC(MID($L$1,3,3))+1)),DEC2HEX(HEX2DEC(MID($L$1,3,3))+1))</f>
        <v>011</v>
      </c>
      <c r="B5" s="72" t="s">
        <v>462</v>
      </c>
      <c r="C5" s="66" t="s">
        <v>476</v>
      </c>
      <c r="D5" s="66" t="s">
        <v>476</v>
      </c>
      <c r="E5" s="65" t="s">
        <v>476</v>
      </c>
      <c r="F5" s="66" t="s">
        <v>476</v>
      </c>
      <c r="G5" s="72"/>
      <c r="H5" s="66" t="s">
        <v>476</v>
      </c>
      <c r="I5" s="65" t="s">
        <v>313</v>
      </c>
      <c r="J5" s="66" t="s">
        <v>487</v>
      </c>
      <c r="K5" s="72" t="s">
        <v>463</v>
      </c>
      <c r="L5" s="73" t="s">
        <v>464</v>
      </c>
      <c r="M5" s="70" t="s">
        <v>14</v>
      </c>
      <c r="N5" s="74" t="s">
        <v>745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IF(MID($L$1,3,1)="0",CONCATENATE("0",DEC2HEX(HEX2DEC(MID($L$1,3,3))+2)),DEC2HEX(HEX2DEC(MID($L$1,3,3))+2))</f>
        <v>012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310</v>
      </c>
      <c r="J6" s="66" t="s">
        <v>314</v>
      </c>
      <c r="K6" s="72" t="s">
        <v>463</v>
      </c>
      <c r="L6" s="73" t="s">
        <v>464</v>
      </c>
      <c r="M6" s="70" t="s">
        <v>496</v>
      </c>
      <c r="N6" s="74" t="s">
        <v>76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IF(MID($L$1,3,1)="0",CONCATENATE("0",DEC2HEX(HEX2DEC(MID($L$1,3,3))+3)),DEC2HEX(HEX2DEC(MID($L$1,3,3))+3))</f>
        <v>013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476</v>
      </c>
      <c r="J7" s="66" t="s">
        <v>476</v>
      </c>
      <c r="K7" s="72" t="s">
        <v>463</v>
      </c>
      <c r="L7" s="73" t="s">
        <v>464</v>
      </c>
      <c r="M7" s="70" t="s">
        <v>7</v>
      </c>
      <c r="N7" s="74" t="s">
        <v>36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IF(MID($L$1,3,1)="0",CONCATENATE("0",DEC2HEX(HEX2DEC(MID($L$1,3,3))+4)),DEC2HEX(HEX2DEC(MID($L$1,3,3))+4))</f>
        <v>014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476</v>
      </c>
      <c r="J8" s="66" t="s">
        <v>476</v>
      </c>
      <c r="K8" s="72" t="s">
        <v>463</v>
      </c>
      <c r="L8" s="73" t="s">
        <v>464</v>
      </c>
      <c r="M8" s="70" t="s">
        <v>7</v>
      </c>
      <c r="N8" s="74" t="s">
        <v>36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IF(MID($L$1,3,1)="0",CONCATENATE("0",DEC2HEX(HEX2DEC(MID($L$1,3,3))+5)),DEC2HEX(HEX2DEC(MID($L$1,3,3))+5))</f>
        <v>015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476</v>
      </c>
      <c r="J9" s="66" t="s">
        <v>476</v>
      </c>
      <c r="K9" s="72" t="s">
        <v>463</v>
      </c>
      <c r="L9" s="73" t="s">
        <v>464</v>
      </c>
      <c r="M9" s="70" t="s">
        <v>7</v>
      </c>
      <c r="N9" s="74" t="s">
        <v>36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IF(MID($L$1,3,1)="0",CONCATENATE("0",DEC2HEX(HEX2DEC(MID($L$1,3,3))+6)),DEC2HEX(HEX2DEC(MID($L$1,3,3))+6))</f>
        <v>016</v>
      </c>
      <c r="B10" s="72" t="s">
        <v>462</v>
      </c>
      <c r="C10" s="66" t="s">
        <v>477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75</v>
      </c>
      <c r="N10" s="74" t="s">
        <v>74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ht="15" thickBot="1" x14ac:dyDescent="0.35">
      <c r="A11" s="63" t="str">
        <f>IF(MID($L$1,3,1)="0",CONCATENATE("0",DEC2HEX(HEX2DEC(MID($L$1,3,3))+7)),DEC2HEX(HEX2DEC(MID($L$1,3,3))+7))</f>
        <v>017</v>
      </c>
      <c r="B11" s="72" t="s">
        <v>462</v>
      </c>
      <c r="C11" s="66" t="s">
        <v>476</v>
      </c>
      <c r="D11" s="66" t="s">
        <v>548</v>
      </c>
      <c r="E11" s="65" t="s">
        <v>5</v>
      </c>
      <c r="F11" s="66" t="s">
        <v>476</v>
      </c>
      <c r="G11" s="72"/>
      <c r="H11" s="66" t="s">
        <v>476</v>
      </c>
      <c r="I11" s="65" t="s">
        <v>306</v>
      </c>
      <c r="J11" s="66" t="s">
        <v>476</v>
      </c>
      <c r="K11" s="72" t="s">
        <v>463</v>
      </c>
      <c r="L11" s="73" t="s">
        <v>464</v>
      </c>
      <c r="M11" s="70" t="s">
        <v>550</v>
      </c>
      <c r="N11" s="75" t="s">
        <v>43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5" thickBot="1" x14ac:dyDescent="0.35">
      <c r="A12" s="82" t="s">
        <v>747</v>
      </c>
      <c r="B12" s="83"/>
      <c r="C12" s="84"/>
      <c r="D12" s="84"/>
      <c r="E12" s="84"/>
      <c r="F12" s="84"/>
      <c r="G12" s="83"/>
      <c r="H12" s="84"/>
      <c r="I12" s="84"/>
      <c r="J12" s="84"/>
      <c r="K12" s="83"/>
      <c r="L12" s="83"/>
      <c r="M12" s="85"/>
      <c r="N12" s="86" t="s">
        <v>749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s="60" customFormat="1" x14ac:dyDescent="0.3">
      <c r="A13" s="63" t="str">
        <f>IF(MID($L$1,3,1)="0",CONCATENATE("0",DEC2HEX(HEX2DEC(MID($L$1,3,3))+8)),DEC2HEX(HEX2DEC(MID($L$1,3,3))+8))</f>
        <v>018</v>
      </c>
      <c r="B13" s="68" t="s">
        <v>462</v>
      </c>
      <c r="C13" s="65" t="s">
        <v>476</v>
      </c>
      <c r="D13" s="65" t="s">
        <v>476</v>
      </c>
      <c r="E13" s="65" t="s">
        <v>476</v>
      </c>
      <c r="F13" s="65" t="s">
        <v>476</v>
      </c>
      <c r="G13" s="68"/>
      <c r="H13" s="66" t="s">
        <v>476</v>
      </c>
      <c r="I13" s="65" t="s">
        <v>312</v>
      </c>
      <c r="J13" s="65" t="s">
        <v>308</v>
      </c>
      <c r="K13" s="68" t="s">
        <v>463</v>
      </c>
      <c r="L13" s="69" t="s">
        <v>464</v>
      </c>
      <c r="M13" s="70" t="s">
        <v>499</v>
      </c>
      <c r="N13" s="76" t="s">
        <v>50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IF(MID($L$1,3,1)="0",CONCATENATE("0",DEC2HEX(HEX2DEC(MID($L$1,3,3))+9)),DEC2HEX(HEX2DEC(MID($L$1,3,3))+9))</f>
        <v>019</v>
      </c>
      <c r="B14" s="68" t="s">
        <v>462</v>
      </c>
      <c r="C14" s="66" t="s">
        <v>476</v>
      </c>
      <c r="D14" s="66" t="s">
        <v>476</v>
      </c>
      <c r="E14" s="65" t="s">
        <v>476</v>
      </c>
      <c r="F14" s="66" t="s">
        <v>476</v>
      </c>
      <c r="G14" s="72"/>
      <c r="H14" s="66" t="s">
        <v>476</v>
      </c>
      <c r="I14" s="65" t="s">
        <v>313</v>
      </c>
      <c r="J14" s="66" t="s">
        <v>309</v>
      </c>
      <c r="K14" s="72" t="s">
        <v>478</v>
      </c>
      <c r="L14" s="73" t="s">
        <v>464</v>
      </c>
      <c r="M14" s="70" t="s">
        <v>503</v>
      </c>
      <c r="N14" s="77" t="s">
        <v>51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IF(MID($L$1,3,1)="0",CONCATENATE("0",DEC2HEX(HEX2DEC(MID($L$1,3,3))+10)),DEC2HEX(HEX2DEC(MID($L$1,3,3))+10))</f>
        <v>01A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488</v>
      </c>
      <c r="J15" s="66" t="s">
        <v>308</v>
      </c>
      <c r="K15" s="72" t="s">
        <v>478</v>
      </c>
      <c r="L15" s="73" t="s">
        <v>464</v>
      </c>
      <c r="M15" s="70" t="s">
        <v>519</v>
      </c>
      <c r="N15" s="77" t="s">
        <v>540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IF(MID($L$1,3,1)="0",CONCATENATE("0",DEC2HEX(HEX2DEC(MID($L$1,3,3))+11)),DEC2HEX(HEX2DEC(MID($L$1,3,3))+11))</f>
        <v>01B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296</v>
      </c>
      <c r="I16" s="65" t="s">
        <v>315</v>
      </c>
      <c r="J16" s="66" t="s">
        <v>476</v>
      </c>
      <c r="K16" s="72" t="s">
        <v>478</v>
      </c>
      <c r="L16" s="73" t="s">
        <v>464</v>
      </c>
      <c r="M16" s="70" t="s">
        <v>15</v>
      </c>
      <c r="N16" s="77" t="s">
        <v>44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IF(MID($L$1,3,1)="0",CONCATENATE("0",DEC2HEX(HEX2DEC(MID($L$1,3,3))+12)),DEC2HEX(HEX2DEC(MID($L$1,3,3))+12))</f>
        <v>01C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307</v>
      </c>
      <c r="J17" s="66" t="s">
        <v>316</v>
      </c>
      <c r="K17" s="72" t="s">
        <v>478</v>
      </c>
      <c r="L17" s="73" t="s">
        <v>464</v>
      </c>
      <c r="M17" s="70" t="s">
        <v>495</v>
      </c>
      <c r="N17" s="77" t="s">
        <v>45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IF(MID($L$1,3,1)="0",CONCATENATE("0",DEC2HEX(HEX2DEC(MID($L$1,3,3))+13)),DEC2HEX(HEX2DEC(MID($L$1,3,3))+13))</f>
        <v>01D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311</v>
      </c>
      <c r="K18" s="72" t="s">
        <v>478</v>
      </c>
      <c r="L18" s="73" t="s">
        <v>464</v>
      </c>
      <c r="M18" s="70" t="s">
        <v>501</v>
      </c>
      <c r="N18" s="77" t="s">
        <v>77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IF(MID($L$1,3,1)="0",CONCATENATE("0",DEC2HEX(HEX2DEC(MID($L$1,3,3))+14)),DEC2HEX(HEX2DEC(MID($L$1,3,3))+14))</f>
        <v>01E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ht="15" thickBot="1" x14ac:dyDescent="0.35">
      <c r="A20" s="64" t="str">
        <f>IF(MID($L$1,3,1)="0",CONCATENATE("0",DEC2HEX(HEX2DEC(MID($L$1,3,3))+15)),DEC2HEX(HEX2DEC(MID($L$1,3,3))+15))</f>
        <v>01F</v>
      </c>
      <c r="B20" s="79" t="s">
        <v>35</v>
      </c>
      <c r="C20" s="67" t="s">
        <v>476</v>
      </c>
      <c r="D20" s="67" t="s">
        <v>476</v>
      </c>
      <c r="E20" s="67" t="s">
        <v>476</v>
      </c>
      <c r="F20" s="67" t="s">
        <v>476</v>
      </c>
      <c r="G20" s="79"/>
      <c r="H20" s="67" t="s">
        <v>476</v>
      </c>
      <c r="I20" s="67" t="s">
        <v>476</v>
      </c>
      <c r="J20" s="67" t="s">
        <v>476</v>
      </c>
      <c r="K20" s="79" t="s">
        <v>463</v>
      </c>
      <c r="L20" s="80" t="s">
        <v>464</v>
      </c>
      <c r="M20" s="100" t="s">
        <v>493</v>
      </c>
      <c r="N20" s="81" t="s">
        <v>40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5" thickTop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7"/>
      <c r="N21" s="8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</sheetData>
  <dataValidations count="12">
    <dataValidation type="list" allowBlank="1" showInputMessage="1" showErrorMessage="1" sqref="B5:B11 B20">
      <formula1>"Next,Decode,Fetch"</formula1>
    </dataValidation>
    <dataValidation type="list" showInputMessage="1" showErrorMessage="1" sqref="D4:D11 D13:D20">
      <formula1>"Enable"</formula1>
    </dataValidation>
    <dataValidation type="list" allowBlank="1" showInputMessage="1" showErrorMessage="1" sqref="G4:G11 G13:G20">
      <formula1>"S,O,Z,NS,NO,NZ"</formula1>
    </dataValidation>
    <dataValidation type="list" allowBlank="1" showInputMessage="1" showErrorMessage="1" sqref="F4:F11 F13:F20">
      <formula1>"Affect"</formula1>
    </dataValidation>
    <dataValidation type="list" allowBlank="1" showInputMessage="1" showErrorMessage="1" sqref="C4:C11 C13:C20">
      <formula1>"Clear"</formula1>
    </dataValidation>
    <dataValidation type="list" allowBlank="1" showInputMessage="1" showErrorMessage="1" sqref="H4:H11 H13:H20">
      <formula1>"ADD,AND,DEC,DIV,INC,MOD,MUL,NOT,OR,ROL,ROR,SHL,SHR,SUB,XOR"</formula1>
    </dataValidation>
    <dataValidation type="list" allowBlank="1" showInputMessage="1" showErrorMessage="1" sqref="J4:J11 J13:J20">
      <formula1>"from DATA,from IP,from MAR,from MBR,from MDR,from RES,from [SEL],from SR"</formula1>
    </dataValidation>
    <dataValidation type="list" showInputMessage="1" showErrorMessage="1" sqref="L4:L11 L13:L20">
      <formula1>"IO,MEM"</formula1>
    </dataValidation>
    <dataValidation type="list" showInputMessage="1" showErrorMessage="1" sqref="K4:K11 K13:K20">
      <formula1>"R,W"</formula1>
    </dataValidation>
    <dataValidation type="list" showErrorMessage="1" errorTitle="Next MIP Address" error="Empty field not allowed" sqref="B4 B13:B19">
      <formula1>"Next,Decode,Fetch"</formula1>
    </dataValidation>
    <dataValidation type="textLength" allowBlank="1" showInputMessage="1" showErrorMessage="1" errorTitle="Hex number required" error="Enter a 3-digit hex number, e.g. 04A, 00C, 7A9" sqref="E4:E11 E13:E20">
      <formula1>3</formula1>
      <formula2>3</formula2>
    </dataValidation>
    <dataValidation type="list" allowBlank="1" showInputMessage="1" showErrorMessage="1" sqref="I4:I11 I13:I2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115</v>
      </c>
      <c r="B1" s="95"/>
      <c r="C1" s="96"/>
      <c r="D1" s="95"/>
      <c r="E1" s="97" t="s">
        <v>29</v>
      </c>
      <c r="F1" s="96"/>
      <c r="G1" s="96" t="str">
        <f>'Decoder Table'!A22</f>
        <v>0xB0</v>
      </c>
      <c r="H1" s="96"/>
      <c r="I1" s="97" t="s">
        <v>471</v>
      </c>
      <c r="J1" s="96"/>
      <c r="K1" s="96"/>
      <c r="L1" s="96" t="str">
        <f>CONCATENATE("0x",'Decoder Table'!B22)</f>
        <v>0x158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158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159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15A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15B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15C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15D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15E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15F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160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161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162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163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164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165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166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167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168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488</v>
      </c>
      <c r="J23" s="65" t="s">
        <v>311</v>
      </c>
      <c r="K23" s="68" t="s">
        <v>463</v>
      </c>
      <c r="L23" s="69" t="s">
        <v>464</v>
      </c>
      <c r="M23" s="70" t="s">
        <v>530</v>
      </c>
      <c r="N23" s="76" t="s">
        <v>531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169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521</v>
      </c>
      <c r="N24" s="77" t="s">
        <v>532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16A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479</v>
      </c>
      <c r="G25" s="72"/>
      <c r="H25" s="66" t="s">
        <v>291</v>
      </c>
      <c r="I25" s="65" t="s">
        <v>315</v>
      </c>
      <c r="J25" s="66" t="s">
        <v>476</v>
      </c>
      <c r="K25" s="72" t="s">
        <v>463</v>
      </c>
      <c r="L25" s="73" t="s">
        <v>464</v>
      </c>
      <c r="M25" s="70" t="s">
        <v>117</v>
      </c>
      <c r="N25" s="77" t="s">
        <v>87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16B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495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16C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16D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16E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16F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10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sheetProtection selectLockedCells="1"/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5:I12 I23:I30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134</v>
      </c>
      <c r="B1" s="95"/>
      <c r="C1" s="96"/>
      <c r="D1" s="95"/>
      <c r="E1" s="97" t="s">
        <v>29</v>
      </c>
      <c r="F1" s="96"/>
      <c r="G1" s="96" t="str">
        <f>'Decoder Table'!A11</f>
        <v>0xA0</v>
      </c>
      <c r="H1" s="96"/>
      <c r="I1" s="97" t="s">
        <v>471</v>
      </c>
      <c r="J1" s="96"/>
      <c r="K1" s="96"/>
      <c r="L1" s="96" t="str">
        <f>CONCATENATE("0x",'Decoder Table'!B11)</f>
        <v>0x068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068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069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06A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06B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06C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06D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06E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06F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070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071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072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073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074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075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076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077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078</v>
      </c>
      <c r="B23" s="145" t="s">
        <v>462</v>
      </c>
      <c r="C23" s="142" t="s">
        <v>476</v>
      </c>
      <c r="D23" s="142" t="s">
        <v>476</v>
      </c>
      <c r="E23" s="142" t="s">
        <v>476</v>
      </c>
      <c r="F23" s="142" t="s">
        <v>476</v>
      </c>
      <c r="G23" s="145"/>
      <c r="H23" s="143" t="s">
        <v>476</v>
      </c>
      <c r="I23" s="142" t="s">
        <v>306</v>
      </c>
      <c r="J23" s="142" t="s">
        <v>314</v>
      </c>
      <c r="K23" s="145" t="s">
        <v>463</v>
      </c>
      <c r="L23" s="146" t="s">
        <v>464</v>
      </c>
      <c r="M23" s="147" t="s">
        <v>494</v>
      </c>
      <c r="N23" s="150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079</v>
      </c>
      <c r="B24" s="145" t="s">
        <v>462</v>
      </c>
      <c r="C24" s="143" t="s">
        <v>476</v>
      </c>
      <c r="D24" s="143" t="s">
        <v>476</v>
      </c>
      <c r="E24" s="142" t="s">
        <v>476</v>
      </c>
      <c r="F24" s="143" t="s">
        <v>476</v>
      </c>
      <c r="G24" s="148"/>
      <c r="H24" s="143" t="s">
        <v>476</v>
      </c>
      <c r="I24" s="142" t="s">
        <v>488</v>
      </c>
      <c r="J24" s="143" t="s">
        <v>308</v>
      </c>
      <c r="K24" s="148" t="s">
        <v>463</v>
      </c>
      <c r="L24" s="149" t="s">
        <v>464</v>
      </c>
      <c r="M24" s="147" t="s">
        <v>519</v>
      </c>
      <c r="N24" s="151" t="s">
        <v>525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07A</v>
      </c>
      <c r="B25" s="145" t="s">
        <v>462</v>
      </c>
      <c r="C25" s="143" t="s">
        <v>476</v>
      </c>
      <c r="D25" s="143" t="s">
        <v>476</v>
      </c>
      <c r="E25" s="142" t="s">
        <v>476</v>
      </c>
      <c r="F25" s="143" t="s">
        <v>476</v>
      </c>
      <c r="G25" s="148"/>
      <c r="H25" s="143" t="s">
        <v>476</v>
      </c>
      <c r="I25" s="142" t="s">
        <v>489</v>
      </c>
      <c r="J25" s="143" t="s">
        <v>316</v>
      </c>
      <c r="K25" s="148" t="s">
        <v>463</v>
      </c>
      <c r="L25" s="149" t="s">
        <v>464</v>
      </c>
      <c r="M25" s="147" t="s">
        <v>526</v>
      </c>
      <c r="N25" s="151" t="s">
        <v>522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07B</v>
      </c>
      <c r="B26" s="145" t="s">
        <v>462</v>
      </c>
      <c r="C26" s="143" t="s">
        <v>476</v>
      </c>
      <c r="D26" s="143" t="s">
        <v>476</v>
      </c>
      <c r="E26" s="142" t="s">
        <v>476</v>
      </c>
      <c r="F26" s="143" t="s">
        <v>479</v>
      </c>
      <c r="G26" s="148"/>
      <c r="H26" s="143" t="s">
        <v>291</v>
      </c>
      <c r="I26" s="142" t="s">
        <v>315</v>
      </c>
      <c r="J26" s="143" t="s">
        <v>476</v>
      </c>
      <c r="K26" s="148" t="s">
        <v>463</v>
      </c>
      <c r="L26" s="149" t="s">
        <v>464</v>
      </c>
      <c r="M26" s="147" t="s">
        <v>18</v>
      </c>
      <c r="N26" s="151" t="s">
        <v>87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07C</v>
      </c>
      <c r="B27" s="145" t="s">
        <v>462</v>
      </c>
      <c r="C27" s="143" t="s">
        <v>476</v>
      </c>
      <c r="D27" s="143" t="s">
        <v>476</v>
      </c>
      <c r="E27" s="142" t="s">
        <v>476</v>
      </c>
      <c r="F27" s="143" t="s">
        <v>476</v>
      </c>
      <c r="G27" s="148"/>
      <c r="H27" s="143" t="s">
        <v>476</v>
      </c>
      <c r="I27" s="142" t="s">
        <v>306</v>
      </c>
      <c r="J27" s="143" t="s">
        <v>311</v>
      </c>
      <c r="K27" s="148" t="s">
        <v>463</v>
      </c>
      <c r="L27" s="149" t="s">
        <v>464</v>
      </c>
      <c r="M27" s="147" t="s">
        <v>497</v>
      </c>
      <c r="N27" s="151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07D</v>
      </c>
      <c r="B28" s="145" t="s">
        <v>462</v>
      </c>
      <c r="C28" s="143" t="s">
        <v>476</v>
      </c>
      <c r="D28" s="143" t="s">
        <v>476</v>
      </c>
      <c r="E28" s="142" t="s">
        <v>476</v>
      </c>
      <c r="F28" s="143" t="s">
        <v>476</v>
      </c>
      <c r="G28" s="148"/>
      <c r="H28" s="143" t="s">
        <v>476</v>
      </c>
      <c r="I28" s="142" t="s">
        <v>307</v>
      </c>
      <c r="J28" s="143" t="s">
        <v>316</v>
      </c>
      <c r="K28" s="148" t="s">
        <v>463</v>
      </c>
      <c r="L28" s="149" t="s">
        <v>464</v>
      </c>
      <c r="M28" s="147" t="s">
        <v>495</v>
      </c>
      <c r="N28" s="151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07E</v>
      </c>
      <c r="B29" s="145" t="s">
        <v>462</v>
      </c>
      <c r="C29" s="143" t="s">
        <v>476</v>
      </c>
      <c r="D29" s="143" t="s">
        <v>476</v>
      </c>
      <c r="E29" s="142" t="s">
        <v>476</v>
      </c>
      <c r="F29" s="143" t="s">
        <v>476</v>
      </c>
      <c r="G29" s="148"/>
      <c r="H29" s="143" t="s">
        <v>476</v>
      </c>
      <c r="I29" s="142" t="s">
        <v>476</v>
      </c>
      <c r="J29" s="143" t="s">
        <v>476</v>
      </c>
      <c r="K29" s="148" t="s">
        <v>463</v>
      </c>
      <c r="L29" s="149" t="s">
        <v>464</v>
      </c>
      <c r="M29" s="147" t="s">
        <v>7</v>
      </c>
      <c r="N29" s="151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07F</v>
      </c>
      <c r="B30" s="152" t="s">
        <v>35</v>
      </c>
      <c r="C30" s="144" t="s">
        <v>476</v>
      </c>
      <c r="D30" s="144" t="s">
        <v>476</v>
      </c>
      <c r="E30" s="144" t="s">
        <v>476</v>
      </c>
      <c r="F30" s="144" t="s">
        <v>476</v>
      </c>
      <c r="G30" s="152"/>
      <c r="H30" s="144" t="s">
        <v>476</v>
      </c>
      <c r="I30" s="144" t="s">
        <v>476</v>
      </c>
      <c r="J30" s="144" t="s">
        <v>476</v>
      </c>
      <c r="K30" s="152" t="s">
        <v>463</v>
      </c>
      <c r="L30" s="153" t="s">
        <v>464</v>
      </c>
      <c r="M30" s="155" t="s">
        <v>493</v>
      </c>
      <c r="N30" s="154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5:I12 I14:I21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5" width="11.44140625" style="2"/>
    <col min="16" max="16" width="11.44140625" style="106"/>
    <col min="17" max="17" width="11.44140625" style="2"/>
    <col min="18" max="22" width="11.44140625" style="106"/>
    <col min="23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119</v>
      </c>
      <c r="B1" s="95"/>
      <c r="C1" s="96"/>
      <c r="D1" s="95"/>
      <c r="E1" s="97" t="s">
        <v>29</v>
      </c>
      <c r="F1" s="96"/>
      <c r="G1" s="96" t="str">
        <f>'Decoder Table'!A27</f>
        <v>0xBA</v>
      </c>
      <c r="H1" s="96"/>
      <c r="I1" s="97" t="s">
        <v>471</v>
      </c>
      <c r="J1" s="96"/>
      <c r="K1" s="96"/>
      <c r="L1" s="96" t="str">
        <f>CONCATENATE("0x",'Decoder Table'!B27)</f>
        <v>0x1D0</v>
      </c>
      <c r="M1" s="96"/>
      <c r="N1" s="98" t="s">
        <v>799</v>
      </c>
      <c r="P1" s="104"/>
      <c r="R1" s="104"/>
      <c r="S1" s="104"/>
      <c r="T1" s="104"/>
      <c r="U1" s="104"/>
      <c r="V1" s="104"/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105"/>
      <c r="Q2" s="62"/>
      <c r="R2" s="105"/>
      <c r="S2" s="105"/>
      <c r="T2" s="105"/>
      <c r="U2" s="105"/>
      <c r="V2" s="105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105"/>
      <c r="Q3" s="103"/>
      <c r="R3" s="105"/>
      <c r="S3" s="105"/>
      <c r="T3" s="105"/>
      <c r="U3" s="105"/>
      <c r="V3" s="105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105"/>
      <c r="Q4" s="62"/>
      <c r="R4" s="105"/>
      <c r="S4" s="105"/>
      <c r="T4" s="105"/>
      <c r="U4" s="105"/>
      <c r="V4" s="105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1D0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105"/>
      <c r="Q5" s="62"/>
      <c r="R5" s="105"/>
      <c r="S5" s="105"/>
      <c r="T5" s="105"/>
      <c r="U5" s="105"/>
      <c r="V5" s="105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1D1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105"/>
      <c r="Q6" s="62"/>
      <c r="R6" s="105"/>
      <c r="S6" s="105"/>
      <c r="T6" s="105"/>
      <c r="U6" s="105"/>
      <c r="V6" s="105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1D2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105"/>
      <c r="Q7" s="62"/>
      <c r="R7" s="105"/>
      <c r="S7" s="105"/>
      <c r="T7" s="105"/>
      <c r="U7" s="105"/>
      <c r="V7" s="105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1D3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62"/>
      <c r="S8" s="62"/>
      <c r="T8" s="62"/>
      <c r="U8" s="62"/>
      <c r="V8" s="62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1D4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62"/>
      <c r="S9" s="62"/>
      <c r="T9" s="62"/>
      <c r="U9" s="62"/>
      <c r="V9" s="62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1D5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105"/>
      <c r="Q10" s="62"/>
      <c r="R10" s="105"/>
      <c r="S10" s="105"/>
      <c r="T10" s="105"/>
      <c r="U10" s="105"/>
      <c r="V10" s="105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1D6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105"/>
      <c r="Q11" s="62"/>
      <c r="R11" s="105"/>
      <c r="S11" s="105"/>
      <c r="T11" s="105"/>
      <c r="U11" s="105"/>
      <c r="V11" s="105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1D7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105"/>
      <c r="Q12" s="62"/>
      <c r="R12" s="105"/>
      <c r="S12" s="105"/>
      <c r="T12" s="105"/>
      <c r="U12" s="105"/>
      <c r="V12" s="105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105"/>
      <c r="Q13" s="62"/>
      <c r="R13" s="105"/>
      <c r="S13" s="105"/>
      <c r="T13" s="105"/>
      <c r="U13" s="105"/>
      <c r="V13" s="105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1D8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103"/>
      <c r="R14" s="62"/>
      <c r="S14" s="62"/>
      <c r="T14" s="62"/>
      <c r="U14" s="62"/>
      <c r="V14" s="62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1D9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105"/>
      <c r="Q15" s="62"/>
      <c r="R15" s="105"/>
      <c r="S15" s="105"/>
      <c r="T15" s="105"/>
      <c r="U15" s="105"/>
      <c r="V15" s="105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1DA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105"/>
      <c r="Q16" s="62"/>
      <c r="R16" s="105"/>
      <c r="S16" s="105"/>
      <c r="T16" s="105"/>
      <c r="U16" s="62"/>
      <c r="V16" s="105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1DB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105"/>
      <c r="Q17" s="62"/>
      <c r="R17" s="105"/>
      <c r="S17" s="105"/>
      <c r="T17" s="105"/>
      <c r="U17" s="62"/>
      <c r="V17" s="105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1DC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105"/>
      <c r="Q18" s="62"/>
      <c r="R18" s="105"/>
      <c r="S18" s="105"/>
      <c r="T18" s="105"/>
      <c r="U18" s="105"/>
      <c r="V18" s="105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1DD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105"/>
      <c r="Q19" s="62"/>
      <c r="R19" s="105"/>
      <c r="S19" s="105"/>
      <c r="T19" s="105"/>
      <c r="U19" s="105"/>
      <c r="V19" s="105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1DE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105"/>
      <c r="Q20" s="62"/>
      <c r="R20" s="105"/>
      <c r="S20" s="105"/>
      <c r="T20" s="105"/>
      <c r="U20" s="105"/>
      <c r="V20" s="105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1DF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105"/>
      <c r="Q21" s="62"/>
      <c r="R21" s="105"/>
      <c r="S21" s="105"/>
      <c r="T21" s="105"/>
      <c r="U21" s="105"/>
      <c r="V21" s="105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105"/>
      <c r="Q22" s="62"/>
      <c r="R22" s="105"/>
      <c r="S22" s="105"/>
      <c r="T22" s="105"/>
      <c r="U22" s="105"/>
      <c r="V22" s="105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1E0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488</v>
      </c>
      <c r="J23" s="65" t="s">
        <v>311</v>
      </c>
      <c r="K23" s="68" t="s">
        <v>463</v>
      </c>
      <c r="L23" s="69" t="s">
        <v>464</v>
      </c>
      <c r="M23" s="70" t="s">
        <v>530</v>
      </c>
      <c r="N23" s="76" t="s">
        <v>531</v>
      </c>
      <c r="O23" s="61"/>
      <c r="P23" s="105"/>
      <c r="Q23" s="62"/>
      <c r="R23" s="105"/>
      <c r="S23" s="105"/>
      <c r="T23" s="105"/>
      <c r="U23" s="105"/>
      <c r="V23" s="105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1E1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521</v>
      </c>
      <c r="N24" s="77" t="s">
        <v>532</v>
      </c>
      <c r="O24" s="61"/>
      <c r="P24" s="105"/>
      <c r="Q24" s="62"/>
      <c r="R24" s="105"/>
      <c r="S24" s="105"/>
      <c r="T24" s="105"/>
      <c r="U24" s="105"/>
      <c r="V24" s="105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1E2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479</v>
      </c>
      <c r="G25" s="72"/>
      <c r="H25" s="66" t="s">
        <v>301</v>
      </c>
      <c r="I25" s="65" t="s">
        <v>315</v>
      </c>
      <c r="J25" s="66" t="s">
        <v>476</v>
      </c>
      <c r="K25" s="72" t="s">
        <v>463</v>
      </c>
      <c r="L25" s="73" t="s">
        <v>464</v>
      </c>
      <c r="M25" s="70" t="s">
        <v>26</v>
      </c>
      <c r="N25" s="77" t="s">
        <v>120</v>
      </c>
      <c r="O25" s="61"/>
      <c r="P25" s="105"/>
      <c r="Q25" s="62"/>
      <c r="R25" s="105"/>
      <c r="S25" s="105"/>
      <c r="T25" s="105"/>
      <c r="U25" s="105"/>
      <c r="V25" s="105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1E3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495</v>
      </c>
      <c r="N26" s="77" t="s">
        <v>118</v>
      </c>
      <c r="O26" s="61"/>
      <c r="P26" s="105"/>
      <c r="Q26" s="62"/>
      <c r="R26" s="105"/>
      <c r="S26" s="105"/>
      <c r="T26" s="105"/>
      <c r="U26" s="105"/>
      <c r="V26" s="105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1E4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105"/>
      <c r="Q27" s="62"/>
      <c r="R27" s="105"/>
      <c r="S27" s="105"/>
      <c r="T27" s="105"/>
      <c r="U27" s="105"/>
      <c r="V27" s="105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1E5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105"/>
      <c r="Q28" s="62"/>
      <c r="R28" s="105"/>
      <c r="S28" s="105"/>
      <c r="T28" s="105"/>
      <c r="U28" s="105"/>
      <c r="V28" s="105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1E6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105"/>
      <c r="Q29" s="62"/>
      <c r="R29" s="105"/>
      <c r="S29" s="105"/>
      <c r="T29" s="105"/>
      <c r="U29" s="105"/>
      <c r="V29" s="105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1E7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105"/>
      <c r="Q30" s="62"/>
      <c r="R30" s="105"/>
      <c r="S30" s="105"/>
      <c r="T30" s="105"/>
      <c r="U30" s="105"/>
      <c r="V30" s="105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5:I12 I23:I30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142</v>
      </c>
      <c r="B1" s="95"/>
      <c r="C1" s="96"/>
      <c r="D1" s="95"/>
      <c r="E1" s="97" t="s">
        <v>29</v>
      </c>
      <c r="F1" s="96"/>
      <c r="G1" s="96" t="str">
        <f>'Decoder Table'!A18</f>
        <v>0xAA</v>
      </c>
      <c r="H1" s="96"/>
      <c r="I1" s="97" t="s">
        <v>471</v>
      </c>
      <c r="J1" s="96"/>
      <c r="K1" s="96"/>
      <c r="L1" s="96" t="str">
        <f>CONCATENATE("0x",'Decoder Table'!B18)</f>
        <v>0x100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100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101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102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103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104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105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106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107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108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109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10A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10B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10C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10D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10E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10F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110</v>
      </c>
      <c r="B23" s="159" t="s">
        <v>462</v>
      </c>
      <c r="C23" s="156" t="s">
        <v>476</v>
      </c>
      <c r="D23" s="156" t="s">
        <v>476</v>
      </c>
      <c r="E23" s="156" t="s">
        <v>476</v>
      </c>
      <c r="F23" s="156" t="s">
        <v>476</v>
      </c>
      <c r="G23" s="159"/>
      <c r="H23" s="157" t="s">
        <v>476</v>
      </c>
      <c r="I23" s="156" t="s">
        <v>306</v>
      </c>
      <c r="J23" s="156" t="s">
        <v>314</v>
      </c>
      <c r="K23" s="159" t="s">
        <v>463</v>
      </c>
      <c r="L23" s="160" t="s">
        <v>464</v>
      </c>
      <c r="M23" s="161" t="s">
        <v>494</v>
      </c>
      <c r="N23" s="164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111</v>
      </c>
      <c r="B24" s="159" t="s">
        <v>462</v>
      </c>
      <c r="C24" s="157" t="s">
        <v>476</v>
      </c>
      <c r="D24" s="157" t="s">
        <v>476</v>
      </c>
      <c r="E24" s="156" t="s">
        <v>476</v>
      </c>
      <c r="F24" s="157" t="s">
        <v>476</v>
      </c>
      <c r="G24" s="162"/>
      <c r="H24" s="157" t="s">
        <v>476</v>
      </c>
      <c r="I24" s="156" t="s">
        <v>488</v>
      </c>
      <c r="J24" s="157" t="s">
        <v>308</v>
      </c>
      <c r="K24" s="162" t="s">
        <v>463</v>
      </c>
      <c r="L24" s="163" t="s">
        <v>464</v>
      </c>
      <c r="M24" s="161" t="s">
        <v>519</v>
      </c>
      <c r="N24" s="165" t="s">
        <v>525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112</v>
      </c>
      <c r="B25" s="159" t="s">
        <v>462</v>
      </c>
      <c r="C25" s="157" t="s">
        <v>476</v>
      </c>
      <c r="D25" s="157" t="s">
        <v>476</v>
      </c>
      <c r="E25" s="156" t="s">
        <v>476</v>
      </c>
      <c r="F25" s="157" t="s">
        <v>476</v>
      </c>
      <c r="G25" s="162"/>
      <c r="H25" s="157" t="s">
        <v>476</v>
      </c>
      <c r="I25" s="156" t="s">
        <v>489</v>
      </c>
      <c r="J25" s="157" t="s">
        <v>316</v>
      </c>
      <c r="K25" s="162" t="s">
        <v>463</v>
      </c>
      <c r="L25" s="163" t="s">
        <v>464</v>
      </c>
      <c r="M25" s="161" t="s">
        <v>526</v>
      </c>
      <c r="N25" s="165" t="s">
        <v>522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113</v>
      </c>
      <c r="B26" s="159" t="s">
        <v>462</v>
      </c>
      <c r="C26" s="157" t="s">
        <v>476</v>
      </c>
      <c r="D26" s="157" t="s">
        <v>476</v>
      </c>
      <c r="E26" s="156" t="s">
        <v>476</v>
      </c>
      <c r="F26" s="157" t="s">
        <v>479</v>
      </c>
      <c r="G26" s="162"/>
      <c r="H26" s="157" t="s">
        <v>301</v>
      </c>
      <c r="I26" s="156" t="s">
        <v>315</v>
      </c>
      <c r="J26" s="157" t="s">
        <v>476</v>
      </c>
      <c r="K26" s="162" t="s">
        <v>463</v>
      </c>
      <c r="L26" s="163" t="s">
        <v>464</v>
      </c>
      <c r="M26" s="161" t="s">
        <v>143</v>
      </c>
      <c r="N26" s="165" t="s">
        <v>144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114</v>
      </c>
      <c r="B27" s="159" t="s">
        <v>462</v>
      </c>
      <c r="C27" s="157" t="s">
        <v>476</v>
      </c>
      <c r="D27" s="157" t="s">
        <v>476</v>
      </c>
      <c r="E27" s="156" t="s">
        <v>476</v>
      </c>
      <c r="F27" s="157" t="s">
        <v>476</v>
      </c>
      <c r="G27" s="162"/>
      <c r="H27" s="157" t="s">
        <v>476</v>
      </c>
      <c r="I27" s="156" t="s">
        <v>306</v>
      </c>
      <c r="J27" s="157" t="s">
        <v>311</v>
      </c>
      <c r="K27" s="162" t="s">
        <v>463</v>
      </c>
      <c r="L27" s="163" t="s">
        <v>464</v>
      </c>
      <c r="M27" s="161" t="s">
        <v>497</v>
      </c>
      <c r="N27" s="165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115</v>
      </c>
      <c r="B28" s="159" t="s">
        <v>462</v>
      </c>
      <c r="C28" s="157" t="s">
        <v>476</v>
      </c>
      <c r="D28" s="157" t="s">
        <v>476</v>
      </c>
      <c r="E28" s="156" t="s">
        <v>476</v>
      </c>
      <c r="F28" s="157" t="s">
        <v>476</v>
      </c>
      <c r="G28" s="162"/>
      <c r="H28" s="157" t="s">
        <v>476</v>
      </c>
      <c r="I28" s="156" t="s">
        <v>307</v>
      </c>
      <c r="J28" s="157" t="s">
        <v>316</v>
      </c>
      <c r="K28" s="162" t="s">
        <v>463</v>
      </c>
      <c r="L28" s="163" t="s">
        <v>464</v>
      </c>
      <c r="M28" s="161" t="s">
        <v>495</v>
      </c>
      <c r="N28" s="165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116</v>
      </c>
      <c r="B29" s="159" t="s">
        <v>462</v>
      </c>
      <c r="C29" s="157" t="s">
        <v>476</v>
      </c>
      <c r="D29" s="157" t="s">
        <v>476</v>
      </c>
      <c r="E29" s="156" t="s">
        <v>476</v>
      </c>
      <c r="F29" s="157" t="s">
        <v>476</v>
      </c>
      <c r="G29" s="162"/>
      <c r="H29" s="157" t="s">
        <v>476</v>
      </c>
      <c r="I29" s="156" t="s">
        <v>476</v>
      </c>
      <c r="J29" s="157" t="s">
        <v>476</v>
      </c>
      <c r="K29" s="162" t="s">
        <v>463</v>
      </c>
      <c r="L29" s="163" t="s">
        <v>464</v>
      </c>
      <c r="M29" s="161" t="s">
        <v>7</v>
      </c>
      <c r="N29" s="165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117</v>
      </c>
      <c r="B30" s="166" t="s">
        <v>35</v>
      </c>
      <c r="C30" s="158" t="s">
        <v>476</v>
      </c>
      <c r="D30" s="158" t="s">
        <v>476</v>
      </c>
      <c r="E30" s="158" t="s">
        <v>476</v>
      </c>
      <c r="F30" s="158" t="s">
        <v>476</v>
      </c>
      <c r="G30" s="166"/>
      <c r="H30" s="158" t="s">
        <v>476</v>
      </c>
      <c r="I30" s="158" t="s">
        <v>476</v>
      </c>
      <c r="J30" s="158" t="s">
        <v>476</v>
      </c>
      <c r="K30" s="166" t="s">
        <v>463</v>
      </c>
      <c r="L30" s="167" t="s">
        <v>464</v>
      </c>
      <c r="M30" s="169" t="s">
        <v>493</v>
      </c>
      <c r="N30" s="168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231</v>
      </c>
      <c r="B1" s="95"/>
      <c r="C1" s="96"/>
      <c r="D1" s="95"/>
      <c r="E1" s="97" t="s">
        <v>29</v>
      </c>
      <c r="F1" s="96"/>
      <c r="G1" s="96" t="str">
        <f>'Decoder Table'!A37</f>
        <v>0xCA</v>
      </c>
      <c r="H1" s="96"/>
      <c r="I1" s="97" t="s">
        <v>471</v>
      </c>
      <c r="J1" s="96"/>
      <c r="K1" s="96"/>
      <c r="L1" s="96" t="str">
        <f>CONCATENATE("0x",'Decoder Table'!B37)</f>
        <v>0x2B8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2B8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2B9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48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2BA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49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2BB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2BC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2BD</v>
      </c>
      <c r="B10" s="72" t="s">
        <v>462</v>
      </c>
      <c r="C10" s="66" t="s">
        <v>476</v>
      </c>
      <c r="D10" s="66" t="s">
        <v>548</v>
      </c>
      <c r="E10" s="65" t="s">
        <v>5</v>
      </c>
      <c r="F10" s="66" t="s">
        <v>476</v>
      </c>
      <c r="G10" s="72"/>
      <c r="H10" s="66" t="s">
        <v>476</v>
      </c>
      <c r="I10" s="65" t="s">
        <v>306</v>
      </c>
      <c r="J10" s="66" t="s">
        <v>476</v>
      </c>
      <c r="K10" s="72" t="s">
        <v>463</v>
      </c>
      <c r="L10" s="73" t="s">
        <v>464</v>
      </c>
      <c r="M10" s="70" t="s">
        <v>498</v>
      </c>
      <c r="N10" s="74" t="s">
        <v>43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2BE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2BF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2C0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308</v>
      </c>
      <c r="K14" s="68" t="s">
        <v>463</v>
      </c>
      <c r="L14" s="69" t="s">
        <v>464</v>
      </c>
      <c r="M14" s="70" t="s">
        <v>499</v>
      </c>
      <c r="N14" s="76" t="s">
        <v>50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2C1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316</v>
      </c>
      <c r="K15" s="72" t="s">
        <v>478</v>
      </c>
      <c r="L15" s="73" t="s">
        <v>464</v>
      </c>
      <c r="M15" s="70" t="s">
        <v>500</v>
      </c>
      <c r="N15" s="77" t="s">
        <v>51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2C2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308</v>
      </c>
      <c r="K16" s="72" t="s">
        <v>478</v>
      </c>
      <c r="L16" s="73" t="s">
        <v>464</v>
      </c>
      <c r="M16" s="70" t="s">
        <v>519</v>
      </c>
      <c r="N16" s="77" t="s">
        <v>540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2C3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296</v>
      </c>
      <c r="I17" s="65" t="s">
        <v>315</v>
      </c>
      <c r="J17" s="66" t="s">
        <v>476</v>
      </c>
      <c r="K17" s="72" t="s">
        <v>478</v>
      </c>
      <c r="L17" s="73" t="s">
        <v>464</v>
      </c>
      <c r="M17" s="70" t="s">
        <v>15</v>
      </c>
      <c r="N17" s="77" t="s">
        <v>44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2C4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307</v>
      </c>
      <c r="J18" s="66" t="s">
        <v>316</v>
      </c>
      <c r="K18" s="72" t="s">
        <v>478</v>
      </c>
      <c r="L18" s="73" t="s">
        <v>464</v>
      </c>
      <c r="M18" s="70" t="s">
        <v>495</v>
      </c>
      <c r="N18" s="77" t="s">
        <v>45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2C5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311</v>
      </c>
      <c r="K19" s="72" t="s">
        <v>478</v>
      </c>
      <c r="L19" s="73" t="s">
        <v>464</v>
      </c>
      <c r="M19" s="70" t="s">
        <v>501</v>
      </c>
      <c r="N19" s="77" t="s">
        <v>52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2C6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2C7</v>
      </c>
      <c r="B21" s="79" t="s">
        <v>35</v>
      </c>
      <c r="C21" s="67" t="s">
        <v>476</v>
      </c>
      <c r="D21" s="67" t="s">
        <v>476</v>
      </c>
      <c r="E21" s="67" t="s">
        <v>476</v>
      </c>
      <c r="F21" s="67" t="s">
        <v>476</v>
      </c>
      <c r="G21" s="79"/>
      <c r="H21" s="67" t="s">
        <v>476</v>
      </c>
      <c r="I21" s="67" t="s">
        <v>476</v>
      </c>
      <c r="J21" s="67" t="s">
        <v>476</v>
      </c>
      <c r="K21" s="79" t="s">
        <v>463</v>
      </c>
      <c r="L21" s="80" t="s">
        <v>464</v>
      </c>
      <c r="M21" s="100" t="s">
        <v>493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24</v>
      </c>
      <c r="B1" s="95"/>
      <c r="C1" s="96"/>
      <c r="D1" s="95"/>
      <c r="E1" s="97" t="s">
        <v>29</v>
      </c>
      <c r="F1" s="96"/>
      <c r="G1" s="96" t="str">
        <f>'Decoder Table'!A57</f>
        <v>0xFD</v>
      </c>
      <c r="H1" s="96"/>
      <c r="I1" s="97" t="s">
        <v>471</v>
      </c>
      <c r="J1" s="96"/>
      <c r="K1" s="96"/>
      <c r="L1" s="96" t="str">
        <f>CONCATENATE("0x",'Decoder Table'!B57)</f>
        <v>0x418</v>
      </c>
      <c r="M1" s="96"/>
      <c r="N1" s="98" t="s">
        <v>744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12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13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418</v>
      </c>
      <c r="B5" s="68" t="s">
        <v>462</v>
      </c>
      <c r="C5" s="65" t="s">
        <v>476</v>
      </c>
      <c r="D5" s="65" t="s">
        <v>548</v>
      </c>
      <c r="E5" s="65" t="s">
        <v>25</v>
      </c>
      <c r="F5" s="65" t="s">
        <v>476</v>
      </c>
      <c r="G5" s="68"/>
      <c r="H5" s="66" t="s">
        <v>476</v>
      </c>
      <c r="I5" s="65" t="s">
        <v>488</v>
      </c>
      <c r="J5" s="65" t="s">
        <v>476</v>
      </c>
      <c r="K5" s="68" t="s">
        <v>463</v>
      </c>
      <c r="L5" s="69" t="s">
        <v>464</v>
      </c>
      <c r="M5" s="70" t="s">
        <v>547</v>
      </c>
      <c r="N5" s="71" t="s">
        <v>544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419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489</v>
      </c>
      <c r="J6" s="66" t="s">
        <v>318</v>
      </c>
      <c r="K6" s="72" t="s">
        <v>463</v>
      </c>
      <c r="L6" s="73" t="s">
        <v>464</v>
      </c>
      <c r="M6" s="70" t="s">
        <v>545</v>
      </c>
      <c r="N6" s="74" t="s">
        <v>546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41A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301</v>
      </c>
      <c r="I7" s="65" t="s">
        <v>315</v>
      </c>
      <c r="J7" s="66" t="s">
        <v>476</v>
      </c>
      <c r="K7" s="72" t="s">
        <v>463</v>
      </c>
      <c r="L7" s="73" t="s">
        <v>464</v>
      </c>
      <c r="M7" s="70" t="s">
        <v>26</v>
      </c>
      <c r="N7" s="74" t="s">
        <v>64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41B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316</v>
      </c>
      <c r="K8" s="72" t="s">
        <v>463</v>
      </c>
      <c r="L8" s="73" t="s">
        <v>464</v>
      </c>
      <c r="M8" s="70" t="s">
        <v>515</v>
      </c>
      <c r="N8" s="74" t="s">
        <v>454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41C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317</v>
      </c>
      <c r="J9" s="66" t="s">
        <v>311</v>
      </c>
      <c r="K9" s="72" t="s">
        <v>463</v>
      </c>
      <c r="L9" s="73" t="s">
        <v>464</v>
      </c>
      <c r="M9" s="70" t="s">
        <v>516</v>
      </c>
      <c r="N9" s="74" t="s">
        <v>65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41D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41E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41F</v>
      </c>
      <c r="B12" s="79" t="s">
        <v>35</v>
      </c>
      <c r="C12" s="67" t="s">
        <v>476</v>
      </c>
      <c r="D12" s="67" t="s">
        <v>476</v>
      </c>
      <c r="E12" s="99" t="s">
        <v>476</v>
      </c>
      <c r="F12" s="67" t="s">
        <v>476</v>
      </c>
      <c r="G12" s="79"/>
      <c r="H12" s="67" t="s">
        <v>476</v>
      </c>
      <c r="I12" s="99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AK38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759</v>
      </c>
      <c r="B1" s="95"/>
      <c r="C1" s="96"/>
      <c r="D1" s="95"/>
      <c r="E1" s="97" t="s">
        <v>29</v>
      </c>
      <c r="F1" s="96"/>
      <c r="G1" s="96" t="str">
        <f>'Decoder Table'!A63</f>
        <v>0x83</v>
      </c>
      <c r="H1" s="96"/>
      <c r="I1" s="97" t="s">
        <v>471</v>
      </c>
      <c r="J1" s="96"/>
      <c r="K1" s="96"/>
      <c r="L1" s="96" t="str">
        <f>CONCATENATE("0x",'Decoder Table'!B63)</f>
        <v>0x478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478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479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47A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55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47B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47C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/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47D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47E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306</v>
      </c>
      <c r="J11" s="65" t="s">
        <v>311</v>
      </c>
      <c r="K11" s="68" t="s">
        <v>463</v>
      </c>
      <c r="L11" s="69" t="s">
        <v>464</v>
      </c>
      <c r="M11" s="70" t="s">
        <v>497</v>
      </c>
      <c r="N11" s="74" t="s">
        <v>56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47F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623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750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ht="15" thickBot="1" x14ac:dyDescent="0.35">
      <c r="A14" s="63" t="str">
        <f>IF(MID($L$1,3,1)="0",CONCATENATE("0",DEC2HEX(HEX2DEC(MID($L$1,3,3))+8)),DEC2HEX(HEX2DEC(MID($L$1,3,3))+8))</f>
        <v>480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/>
      <c r="G14" s="68"/>
      <c r="H14" s="66" t="s">
        <v>476</v>
      </c>
      <c r="I14" s="65" t="s">
        <v>310</v>
      </c>
      <c r="J14" s="66" t="s">
        <v>308</v>
      </c>
      <c r="K14" s="72" t="s">
        <v>463</v>
      </c>
      <c r="L14" s="73" t="s">
        <v>464</v>
      </c>
      <c r="M14" s="70" t="s">
        <v>509</v>
      </c>
      <c r="N14" s="76" t="s">
        <v>54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481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/>
      <c r="G15" s="72"/>
      <c r="H15" s="66" t="s">
        <v>476</v>
      </c>
      <c r="I15" s="65" t="s">
        <v>488</v>
      </c>
      <c r="J15" s="66" t="s">
        <v>308</v>
      </c>
      <c r="K15" s="72" t="s">
        <v>463</v>
      </c>
      <c r="L15" s="73" t="s">
        <v>464</v>
      </c>
      <c r="M15" s="70" t="s">
        <v>519</v>
      </c>
      <c r="N15" s="76" t="s">
        <v>654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482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/>
      <c r="G16" s="72"/>
      <c r="H16" s="66" t="s">
        <v>297</v>
      </c>
      <c r="I16" s="65" t="s">
        <v>315</v>
      </c>
      <c r="J16" s="66"/>
      <c r="K16" s="72" t="s">
        <v>463</v>
      </c>
      <c r="L16" s="73" t="s">
        <v>464</v>
      </c>
      <c r="M16" s="70" t="s">
        <v>6</v>
      </c>
      <c r="N16" s="74" t="s">
        <v>627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483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/>
      <c r="G17" s="72"/>
      <c r="H17" s="66" t="s">
        <v>476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495</v>
      </c>
      <c r="N17" s="77" t="s">
        <v>118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484</v>
      </c>
      <c r="B18" s="68" t="s">
        <v>462</v>
      </c>
      <c r="C18" s="66" t="s">
        <v>476</v>
      </c>
      <c r="D18" s="65" t="s">
        <v>548</v>
      </c>
      <c r="E18" s="65" t="s">
        <v>3</v>
      </c>
      <c r="F18" s="65" t="s">
        <v>476</v>
      </c>
      <c r="G18" s="68"/>
      <c r="H18" s="66" t="s">
        <v>476</v>
      </c>
      <c r="I18" s="65" t="s">
        <v>488</v>
      </c>
      <c r="J18" s="65" t="s">
        <v>476</v>
      </c>
      <c r="K18" s="68" t="s">
        <v>463</v>
      </c>
      <c r="L18" s="69" t="s">
        <v>464</v>
      </c>
      <c r="M18" s="70" t="s">
        <v>655</v>
      </c>
      <c r="N18" s="71" t="s">
        <v>656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485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/>
      <c r="G19" s="72"/>
      <c r="H19" s="66" t="s">
        <v>303</v>
      </c>
      <c r="I19" s="65" t="s">
        <v>315</v>
      </c>
      <c r="J19" s="66"/>
      <c r="K19" s="72" t="s">
        <v>463</v>
      </c>
      <c r="L19" s="73" t="s">
        <v>464</v>
      </c>
      <c r="M19" s="70" t="s">
        <v>109</v>
      </c>
      <c r="N19" s="74" t="s">
        <v>657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486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/>
      <c r="G20" s="72"/>
      <c r="H20" s="66" t="s">
        <v>476</v>
      </c>
      <c r="I20" s="65"/>
      <c r="J20" s="66"/>
      <c r="K20" s="72" t="s">
        <v>463</v>
      </c>
      <c r="L20" s="73" t="s">
        <v>464</v>
      </c>
      <c r="M20" s="70" t="s">
        <v>7</v>
      </c>
      <c r="N20" s="74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487</v>
      </c>
      <c r="B21" s="68" t="s">
        <v>462</v>
      </c>
      <c r="C21" s="66"/>
      <c r="D21" s="66"/>
      <c r="E21" s="65"/>
      <c r="F21" s="66"/>
      <c r="G21" s="72"/>
      <c r="H21" s="66" t="s">
        <v>476</v>
      </c>
      <c r="I21" s="65"/>
      <c r="J21" s="66"/>
      <c r="K21" s="72" t="s">
        <v>463</v>
      </c>
      <c r="L21" s="73" t="s">
        <v>464</v>
      </c>
      <c r="M21" s="70" t="s">
        <v>7</v>
      </c>
      <c r="N21" s="75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628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63" t="str">
        <f>IF(MID($L$1,3,1)="0",CONCATENATE("0",DEC2HEX(HEX2DEC(MID($L$1,3,3))+16)),DEC2HEX(HEX2DEC(MID($L$1,3,3))+16))</f>
        <v>488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/>
      <c r="G23" s="68"/>
      <c r="H23" s="66" t="s">
        <v>476</v>
      </c>
      <c r="I23" s="65" t="s">
        <v>312</v>
      </c>
      <c r="J23" s="66" t="s">
        <v>311</v>
      </c>
      <c r="K23" s="72" t="s">
        <v>463</v>
      </c>
      <c r="L23" s="73" t="s">
        <v>464</v>
      </c>
      <c r="M23" s="70" t="s">
        <v>504</v>
      </c>
      <c r="N23" s="76" t="s">
        <v>658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63" t="str">
        <f>IF(MID($L$1,3,1)="0",CONCATENATE("0",DEC2HEX(HEX2DEC(MID($L$1,3,3))+17)),DEC2HEX(HEX2DEC(MID($L$1,3,3))+17))</f>
        <v>489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/>
      <c r="G24" s="72"/>
      <c r="H24" s="66" t="s">
        <v>476</v>
      </c>
      <c r="I24" s="65" t="s">
        <v>313</v>
      </c>
      <c r="J24" s="66" t="s">
        <v>316</v>
      </c>
      <c r="K24" s="72" t="s">
        <v>478</v>
      </c>
      <c r="L24" s="73" t="s">
        <v>464</v>
      </c>
      <c r="M24" s="70" t="s">
        <v>500</v>
      </c>
      <c r="N24" s="77" t="s">
        <v>629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63" t="str">
        <f>IF(MID($L$1,3,1)="0",CONCATENATE("0",DEC2HEX(HEX2DEC(MID($L$1,3,3))+18)),DEC2HEX(HEX2DEC(MID($L$1,3,3))+18))</f>
        <v>48A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/>
      <c r="G25" s="72"/>
      <c r="H25" s="66" t="s">
        <v>476</v>
      </c>
      <c r="I25" s="65"/>
      <c r="J25" s="66"/>
      <c r="K25" s="72" t="s">
        <v>478</v>
      </c>
      <c r="L25" s="73" t="s">
        <v>464</v>
      </c>
      <c r="M25" s="70" t="s">
        <v>7</v>
      </c>
      <c r="N25" s="74" t="s">
        <v>36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63" t="str">
        <f>IF(MID($L$1,3,1)="0",CONCATENATE("0",DEC2HEX(HEX2DEC(MID($L$1,3,3))+19)),DEC2HEX(HEX2DEC(MID($L$1,3,3))+19))</f>
        <v>48B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/>
      <c r="G26" s="72"/>
      <c r="H26" s="66" t="s">
        <v>476</v>
      </c>
      <c r="I26" s="65"/>
      <c r="J26" s="66"/>
      <c r="K26" s="72" t="s">
        <v>478</v>
      </c>
      <c r="L26" s="73" t="s">
        <v>464</v>
      </c>
      <c r="M26" s="70" t="s">
        <v>7</v>
      </c>
      <c r="N26" s="74" t="s">
        <v>36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63" t="str">
        <f>IF(MID($L$1,3,1)="0",CONCATENATE("0",DEC2HEX(HEX2DEC(MID($L$1,3,3))+20)),DEC2HEX(HEX2DEC(MID($L$1,3,3))+20))</f>
        <v>48C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/>
      <c r="G27" s="72"/>
      <c r="H27" s="66" t="s">
        <v>476</v>
      </c>
      <c r="I27" s="65"/>
      <c r="J27" s="66"/>
      <c r="K27" s="72" t="s">
        <v>478</v>
      </c>
      <c r="L27" s="73" t="s">
        <v>464</v>
      </c>
      <c r="M27" s="70" t="s">
        <v>7</v>
      </c>
      <c r="N27" s="74" t="s">
        <v>36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63" t="str">
        <f>IF(MID($L$1,3,1)="0",CONCATENATE("0",DEC2HEX(HEX2DEC(MID($L$1,3,3))+21)),DEC2HEX(HEX2DEC(MID($L$1,3,3))+21))</f>
        <v>48D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/>
      <c r="G28" s="72"/>
      <c r="H28" s="66" t="s">
        <v>476</v>
      </c>
      <c r="I28" s="65"/>
      <c r="J28" s="66"/>
      <c r="K28" s="72" t="s">
        <v>478</v>
      </c>
      <c r="L28" s="73" t="s">
        <v>464</v>
      </c>
      <c r="M28" s="70" t="s">
        <v>7</v>
      </c>
      <c r="N28" s="74" t="s">
        <v>36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63" t="str">
        <f>IF(MID($L$1,3,1)="0",CONCATENATE("0",DEC2HEX(HEX2DEC(MID($L$1,3,3))+22)),DEC2HEX(HEX2DEC(MID($L$1,3,3))+22))</f>
        <v>48E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/>
      <c r="G29" s="72"/>
      <c r="H29" s="66" t="s">
        <v>476</v>
      </c>
      <c r="I29" s="65"/>
      <c r="J29" s="66"/>
      <c r="K29" s="72" t="s">
        <v>463</v>
      </c>
      <c r="L29" s="73" t="s">
        <v>464</v>
      </c>
      <c r="M29" s="70" t="s">
        <v>7</v>
      </c>
      <c r="N29" s="74" t="s">
        <v>36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5" thickBot="1" x14ac:dyDescent="0.35">
      <c r="A30" s="64" t="str">
        <f>IF(MID($L$1,3,1)="0",CONCATENATE("0",DEC2HEX(HEX2DEC(MID($L$1,3,3))+23)),DEC2HEX(HEX2DEC(MID($L$1,3,3))+23))</f>
        <v>48F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s="2" customFormat="1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s="2" customFormat="1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s="2" customFormat="1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s="2" customFormat="1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s="2" customFormat="1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s="2" customFormat="1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30 B6:B12">
      <formula1>"Next,Decode,Fetch"</formula1>
    </dataValidation>
    <dataValidation type="list" showInputMessage="1" showErrorMessage="1" sqref="D23:D30 D5:D12 D14:D21">
      <formula1>"Enable"</formula1>
    </dataValidation>
    <dataValidation type="list" allowBlank="1" showInputMessage="1" showErrorMessage="1" sqref="G23:G30 G5:G12 G14:G21">
      <formula1>"S,O,Z,NS,NO,NZ"</formula1>
    </dataValidation>
    <dataValidation type="list" allowBlank="1" showInputMessage="1" showErrorMessage="1" sqref="F23:F30 F5:F12 F14:F21">
      <formula1>"Affect"</formula1>
    </dataValidation>
    <dataValidation type="list" allowBlank="1" showInputMessage="1" showErrorMessage="1" sqref="C23:C30 C5:C12 C14:C21">
      <formula1>"Clear"</formula1>
    </dataValidation>
    <dataValidation type="list" allowBlank="1" showInputMessage="1" showErrorMessage="1" sqref="J23:J30 J5:J12 J14:J21">
      <formula1>"from DATA,from IP,from MAR,from MBR,from MDR,from RES,from [SEL],from SR"</formula1>
    </dataValidation>
    <dataValidation type="list" showInputMessage="1" showErrorMessage="1" sqref="L23:L30 L5:L12 L14:L21">
      <formula1>"IO,MEM"</formula1>
    </dataValidation>
    <dataValidation type="list" showInputMessage="1" showErrorMessage="1" sqref="K23:K30 K5:K12 K14:K21">
      <formula1>"R,W"</formula1>
    </dataValidation>
    <dataValidation type="list" showErrorMessage="1" errorTitle="Next MIP Address" error="Empty field not allowed" sqref="B5 B23:B29 B14:B21">
      <formula1>"Next,Decode,Fetch"</formula1>
    </dataValidation>
    <dataValidation type="textLength" allowBlank="1" showInputMessage="1" showErrorMessage="1" errorTitle="Hex number required" error="Enter a 3-digit hex number, e.g. 04A, 00C, 7A9" sqref="E23:E30 E5:E12 E14:E21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  <dataValidation type="list" allowBlank="1" showInputMessage="1" showErrorMessage="1" sqref="H23:H30 H14:H21 H5:H12">
      <formula1>"ADD,AND,DEC,DIV,INC,MOD,MUL,NOT,OR,ROL,ROR,SHL,SHR,SUB,XOR"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19</v>
      </c>
      <c r="B1" s="95"/>
      <c r="C1" s="96"/>
      <c r="D1" s="95"/>
      <c r="E1" s="97" t="s">
        <v>29</v>
      </c>
      <c r="F1" s="96"/>
      <c r="G1" s="96" t="str">
        <f>'Decoder Table'!A48</f>
        <v>0xDB</v>
      </c>
      <c r="H1" s="96"/>
      <c r="I1" s="97" t="s">
        <v>471</v>
      </c>
      <c r="J1" s="96"/>
      <c r="K1" s="96"/>
      <c r="L1" s="96" t="str">
        <f>CONCATENATE("0x",'Decoder Table'!B48)</f>
        <v>0x390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390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391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392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393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394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395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396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397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398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399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39A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39B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39C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39D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39E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39F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3A0</v>
      </c>
      <c r="B23" s="173" t="s">
        <v>462</v>
      </c>
      <c r="C23" s="170" t="s">
        <v>476</v>
      </c>
      <c r="D23" s="170" t="s">
        <v>476</v>
      </c>
      <c r="E23" s="170" t="s">
        <v>476</v>
      </c>
      <c r="F23" s="170" t="s">
        <v>476</v>
      </c>
      <c r="G23" s="173"/>
      <c r="H23" s="171" t="s">
        <v>476</v>
      </c>
      <c r="I23" s="170" t="s">
        <v>488</v>
      </c>
      <c r="J23" s="171" t="s">
        <v>308</v>
      </c>
      <c r="K23" s="173" t="s">
        <v>463</v>
      </c>
      <c r="L23" s="174" t="s">
        <v>464</v>
      </c>
      <c r="M23" s="175" t="s">
        <v>519</v>
      </c>
      <c r="N23" s="178" t="s">
        <v>520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3A1</v>
      </c>
      <c r="B24" s="173" t="s">
        <v>462</v>
      </c>
      <c r="C24" s="171" t="s">
        <v>476</v>
      </c>
      <c r="D24" s="171" t="s">
        <v>476</v>
      </c>
      <c r="E24" s="170" t="s">
        <v>476</v>
      </c>
      <c r="F24" s="171" t="s">
        <v>476</v>
      </c>
      <c r="G24" s="176"/>
      <c r="H24" s="171" t="s">
        <v>476</v>
      </c>
      <c r="I24" s="170" t="s">
        <v>489</v>
      </c>
      <c r="J24" s="171" t="s">
        <v>311</v>
      </c>
      <c r="K24" s="176" t="s">
        <v>463</v>
      </c>
      <c r="L24" s="177" t="s">
        <v>464</v>
      </c>
      <c r="M24" s="175" t="s">
        <v>533</v>
      </c>
      <c r="N24" s="179" t="s">
        <v>534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3A2</v>
      </c>
      <c r="B25" s="173" t="s">
        <v>462</v>
      </c>
      <c r="C25" s="171" t="s">
        <v>476</v>
      </c>
      <c r="D25" s="171" t="s">
        <v>476</v>
      </c>
      <c r="E25" s="170" t="s">
        <v>476</v>
      </c>
      <c r="F25" s="171" t="s">
        <v>479</v>
      </c>
      <c r="G25" s="176"/>
      <c r="H25" s="171" t="s">
        <v>292</v>
      </c>
      <c r="I25" s="170" t="s">
        <v>315</v>
      </c>
      <c r="J25" s="171" t="s">
        <v>476</v>
      </c>
      <c r="K25" s="176" t="s">
        <v>463</v>
      </c>
      <c r="L25" s="177" t="s">
        <v>464</v>
      </c>
      <c r="M25" s="175" t="s">
        <v>133</v>
      </c>
      <c r="N25" s="179" t="s">
        <v>132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3A3</v>
      </c>
      <c r="B26" s="173" t="s">
        <v>462</v>
      </c>
      <c r="C26" s="171" t="s">
        <v>476</v>
      </c>
      <c r="D26" s="171" t="s">
        <v>476</v>
      </c>
      <c r="E26" s="170" t="s">
        <v>476</v>
      </c>
      <c r="F26" s="171" t="s">
        <v>476</v>
      </c>
      <c r="G26" s="176"/>
      <c r="H26" s="171" t="s">
        <v>476</v>
      </c>
      <c r="I26" s="170" t="s">
        <v>476</v>
      </c>
      <c r="J26" s="171" t="s">
        <v>476</v>
      </c>
      <c r="K26" s="176" t="s">
        <v>463</v>
      </c>
      <c r="L26" s="177" t="s">
        <v>464</v>
      </c>
      <c r="M26" s="175" t="s">
        <v>7</v>
      </c>
      <c r="N26" s="179" t="s">
        <v>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3A4</v>
      </c>
      <c r="B27" s="173" t="s">
        <v>462</v>
      </c>
      <c r="C27" s="171" t="s">
        <v>476</v>
      </c>
      <c r="D27" s="171" t="s">
        <v>476</v>
      </c>
      <c r="E27" s="170" t="s">
        <v>476</v>
      </c>
      <c r="F27" s="171" t="s">
        <v>476</v>
      </c>
      <c r="G27" s="176"/>
      <c r="H27" s="171" t="s">
        <v>476</v>
      </c>
      <c r="I27" s="170" t="s">
        <v>476</v>
      </c>
      <c r="J27" s="171" t="s">
        <v>476</v>
      </c>
      <c r="K27" s="176" t="s">
        <v>463</v>
      </c>
      <c r="L27" s="177" t="s">
        <v>464</v>
      </c>
      <c r="M27" s="175" t="s">
        <v>7</v>
      </c>
      <c r="N27" s="179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3A5</v>
      </c>
      <c r="B28" s="173" t="s">
        <v>462</v>
      </c>
      <c r="C28" s="171" t="s">
        <v>476</v>
      </c>
      <c r="D28" s="171" t="s">
        <v>476</v>
      </c>
      <c r="E28" s="170" t="s">
        <v>476</v>
      </c>
      <c r="F28" s="171" t="s">
        <v>476</v>
      </c>
      <c r="G28" s="176"/>
      <c r="H28" s="171" t="s">
        <v>476</v>
      </c>
      <c r="I28" s="170" t="s">
        <v>476</v>
      </c>
      <c r="J28" s="171" t="s">
        <v>476</v>
      </c>
      <c r="K28" s="176" t="s">
        <v>463</v>
      </c>
      <c r="L28" s="177" t="s">
        <v>464</v>
      </c>
      <c r="M28" s="175" t="s">
        <v>7</v>
      </c>
      <c r="N28" s="179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3A6</v>
      </c>
      <c r="B29" s="173" t="s">
        <v>462</v>
      </c>
      <c r="C29" s="171" t="s">
        <v>476</v>
      </c>
      <c r="D29" s="171" t="s">
        <v>476</v>
      </c>
      <c r="E29" s="170" t="s">
        <v>476</v>
      </c>
      <c r="F29" s="171" t="s">
        <v>476</v>
      </c>
      <c r="G29" s="176"/>
      <c r="H29" s="171" t="s">
        <v>476</v>
      </c>
      <c r="I29" s="170" t="s">
        <v>476</v>
      </c>
      <c r="J29" s="171" t="s">
        <v>476</v>
      </c>
      <c r="K29" s="176" t="s">
        <v>463</v>
      </c>
      <c r="L29" s="177" t="s">
        <v>464</v>
      </c>
      <c r="M29" s="175" t="s">
        <v>7</v>
      </c>
      <c r="N29" s="179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3A7</v>
      </c>
      <c r="B30" s="180" t="s">
        <v>35</v>
      </c>
      <c r="C30" s="172" t="s">
        <v>476</v>
      </c>
      <c r="D30" s="172" t="s">
        <v>476</v>
      </c>
      <c r="E30" s="172" t="s">
        <v>476</v>
      </c>
      <c r="F30" s="172" t="s">
        <v>476</v>
      </c>
      <c r="G30" s="180"/>
      <c r="H30" s="172" t="s">
        <v>476</v>
      </c>
      <c r="I30" s="172" t="s">
        <v>476</v>
      </c>
      <c r="J30" s="172" t="s">
        <v>476</v>
      </c>
      <c r="K30" s="180" t="s">
        <v>463</v>
      </c>
      <c r="L30" s="181" t="s">
        <v>464</v>
      </c>
      <c r="M30" s="183" t="s">
        <v>493</v>
      </c>
      <c r="N30" s="182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5:I12 I14:I21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166</v>
      </c>
      <c r="B1" s="95"/>
      <c r="C1" s="96"/>
      <c r="D1" s="95"/>
      <c r="E1" s="97" t="s">
        <v>29</v>
      </c>
      <c r="F1" s="96"/>
      <c r="G1" s="96" t="str">
        <f>'Decoder Table'!A47</f>
        <v>0xDA</v>
      </c>
      <c r="H1" s="96"/>
      <c r="I1" s="97" t="s">
        <v>471</v>
      </c>
      <c r="J1" s="96"/>
      <c r="K1" s="96"/>
      <c r="L1" s="96" t="str">
        <f>CONCATENATE("0x",'Decoder Table'!B47)</f>
        <v>0x378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378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379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37A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37B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37C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37D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37E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37F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380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381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382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383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384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385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386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387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388</v>
      </c>
      <c r="B23" s="187" t="s">
        <v>462</v>
      </c>
      <c r="C23" s="184" t="s">
        <v>476</v>
      </c>
      <c r="D23" s="184" t="s">
        <v>476</v>
      </c>
      <c r="E23" s="184" t="s">
        <v>476</v>
      </c>
      <c r="F23" s="184" t="s">
        <v>476</v>
      </c>
      <c r="G23" s="187"/>
      <c r="H23" s="185" t="s">
        <v>476</v>
      </c>
      <c r="I23" s="184" t="s">
        <v>306</v>
      </c>
      <c r="J23" s="184" t="s">
        <v>314</v>
      </c>
      <c r="K23" s="187" t="s">
        <v>463</v>
      </c>
      <c r="L23" s="188" t="s">
        <v>464</v>
      </c>
      <c r="M23" s="189" t="s">
        <v>494</v>
      </c>
      <c r="N23" s="192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389</v>
      </c>
      <c r="B24" s="187" t="s">
        <v>462</v>
      </c>
      <c r="C24" s="185" t="s">
        <v>476</v>
      </c>
      <c r="D24" s="185" t="s">
        <v>476</v>
      </c>
      <c r="E24" s="184" t="s">
        <v>476</v>
      </c>
      <c r="F24" s="185" t="s">
        <v>476</v>
      </c>
      <c r="G24" s="190"/>
      <c r="H24" s="185" t="s">
        <v>476</v>
      </c>
      <c r="I24" s="184" t="s">
        <v>488</v>
      </c>
      <c r="J24" s="185" t="s">
        <v>316</v>
      </c>
      <c r="K24" s="190" t="s">
        <v>463</v>
      </c>
      <c r="L24" s="191" t="s">
        <v>464</v>
      </c>
      <c r="M24" s="189" t="s">
        <v>527</v>
      </c>
      <c r="N24" s="193" t="s">
        <v>528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38A</v>
      </c>
      <c r="B25" s="187" t="s">
        <v>462</v>
      </c>
      <c r="C25" s="185" t="s">
        <v>476</v>
      </c>
      <c r="D25" s="185" t="s">
        <v>476</v>
      </c>
      <c r="E25" s="184" t="s">
        <v>476</v>
      </c>
      <c r="F25" s="185" t="s">
        <v>476</v>
      </c>
      <c r="G25" s="190"/>
      <c r="H25" s="185" t="s">
        <v>476</v>
      </c>
      <c r="I25" s="184" t="s">
        <v>489</v>
      </c>
      <c r="J25" s="185" t="s">
        <v>308</v>
      </c>
      <c r="K25" s="190" t="s">
        <v>463</v>
      </c>
      <c r="L25" s="191" t="s">
        <v>464</v>
      </c>
      <c r="M25" s="189" t="s">
        <v>521</v>
      </c>
      <c r="N25" s="193" t="s">
        <v>529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38B</v>
      </c>
      <c r="B26" s="187" t="s">
        <v>462</v>
      </c>
      <c r="C26" s="185" t="s">
        <v>476</v>
      </c>
      <c r="D26" s="185" t="s">
        <v>476</v>
      </c>
      <c r="E26" s="184" t="s">
        <v>476</v>
      </c>
      <c r="F26" s="185" t="s">
        <v>479</v>
      </c>
      <c r="G26" s="190"/>
      <c r="H26" s="185" t="s">
        <v>292</v>
      </c>
      <c r="I26" s="184" t="s">
        <v>315</v>
      </c>
      <c r="J26" s="185" t="s">
        <v>476</v>
      </c>
      <c r="K26" s="190" t="s">
        <v>463</v>
      </c>
      <c r="L26" s="191" t="s">
        <v>464</v>
      </c>
      <c r="M26" s="189" t="s">
        <v>154</v>
      </c>
      <c r="N26" s="193" t="s">
        <v>132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38C</v>
      </c>
      <c r="B27" s="187" t="s">
        <v>462</v>
      </c>
      <c r="C27" s="185" t="s">
        <v>476</v>
      </c>
      <c r="D27" s="185" t="s">
        <v>476</v>
      </c>
      <c r="E27" s="184" t="s">
        <v>476</v>
      </c>
      <c r="F27" s="185" t="s">
        <v>476</v>
      </c>
      <c r="G27" s="190"/>
      <c r="H27" s="185" t="s">
        <v>476</v>
      </c>
      <c r="I27" s="184" t="s">
        <v>476</v>
      </c>
      <c r="J27" s="185" t="s">
        <v>476</v>
      </c>
      <c r="K27" s="190" t="s">
        <v>463</v>
      </c>
      <c r="L27" s="191" t="s">
        <v>464</v>
      </c>
      <c r="M27" s="189" t="s">
        <v>7</v>
      </c>
      <c r="N27" s="193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38D</v>
      </c>
      <c r="B28" s="187" t="s">
        <v>462</v>
      </c>
      <c r="C28" s="185" t="s">
        <v>476</v>
      </c>
      <c r="D28" s="185" t="s">
        <v>476</v>
      </c>
      <c r="E28" s="184" t="s">
        <v>476</v>
      </c>
      <c r="F28" s="185" t="s">
        <v>476</v>
      </c>
      <c r="G28" s="190"/>
      <c r="H28" s="185" t="s">
        <v>476</v>
      </c>
      <c r="I28" s="184" t="s">
        <v>476</v>
      </c>
      <c r="J28" s="185" t="s">
        <v>476</v>
      </c>
      <c r="K28" s="190" t="s">
        <v>463</v>
      </c>
      <c r="L28" s="191" t="s">
        <v>464</v>
      </c>
      <c r="M28" s="189" t="s">
        <v>7</v>
      </c>
      <c r="N28" s="193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38E</v>
      </c>
      <c r="B29" s="187" t="s">
        <v>462</v>
      </c>
      <c r="C29" s="185" t="s">
        <v>476</v>
      </c>
      <c r="D29" s="185" t="s">
        <v>476</v>
      </c>
      <c r="E29" s="184" t="s">
        <v>476</v>
      </c>
      <c r="F29" s="185" t="s">
        <v>476</v>
      </c>
      <c r="G29" s="190"/>
      <c r="H29" s="185" t="s">
        <v>476</v>
      </c>
      <c r="I29" s="184" t="s">
        <v>476</v>
      </c>
      <c r="J29" s="185" t="s">
        <v>476</v>
      </c>
      <c r="K29" s="190" t="s">
        <v>463</v>
      </c>
      <c r="L29" s="191" t="s">
        <v>464</v>
      </c>
      <c r="M29" s="189" t="s">
        <v>7</v>
      </c>
      <c r="N29" s="193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38F</v>
      </c>
      <c r="B30" s="194" t="s">
        <v>35</v>
      </c>
      <c r="C30" s="186" t="s">
        <v>476</v>
      </c>
      <c r="D30" s="186" t="s">
        <v>476</v>
      </c>
      <c r="E30" s="186" t="s">
        <v>476</v>
      </c>
      <c r="F30" s="186" t="s">
        <v>476</v>
      </c>
      <c r="G30" s="194"/>
      <c r="H30" s="186" t="s">
        <v>476</v>
      </c>
      <c r="I30" s="186" t="s">
        <v>476</v>
      </c>
      <c r="J30" s="186" t="s">
        <v>476</v>
      </c>
      <c r="K30" s="194" t="s">
        <v>463</v>
      </c>
      <c r="L30" s="195" t="s">
        <v>464</v>
      </c>
      <c r="M30" s="197" t="s">
        <v>493</v>
      </c>
      <c r="N30" s="196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217</v>
      </c>
      <c r="B1" s="95"/>
      <c r="C1" s="96"/>
      <c r="D1" s="95"/>
      <c r="E1" s="97" t="s">
        <v>29</v>
      </c>
      <c r="F1" s="96"/>
      <c r="G1" s="96" t="str">
        <f>'Decoder Table'!A49</f>
        <v>0xDC</v>
      </c>
      <c r="H1" s="96"/>
      <c r="I1" s="97" t="s">
        <v>471</v>
      </c>
      <c r="J1" s="96"/>
      <c r="K1" s="96"/>
      <c r="L1" s="96" t="str">
        <f>CONCATENATE("0x",'Decoder Table'!B49)</f>
        <v>0x3A8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3A8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3A9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3AA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3AB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3AC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3AD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3AE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3AF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3B0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3B1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161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3B2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3B3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3B4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3B5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3B6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3B7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3B8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312</v>
      </c>
      <c r="J23" s="65" t="s">
        <v>314</v>
      </c>
      <c r="K23" s="68" t="s">
        <v>463</v>
      </c>
      <c r="L23" s="69" t="s">
        <v>464</v>
      </c>
      <c r="M23" s="70" t="s">
        <v>507</v>
      </c>
      <c r="N23" s="76" t="s">
        <v>162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3B9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313</v>
      </c>
      <c r="J24" s="66" t="s">
        <v>487</v>
      </c>
      <c r="K24" s="72" t="s">
        <v>463</v>
      </c>
      <c r="L24" s="73" t="s">
        <v>464</v>
      </c>
      <c r="M24" s="70" t="s">
        <v>14</v>
      </c>
      <c r="N24" s="77" t="s">
        <v>219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3BA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488</v>
      </c>
      <c r="J25" s="66" t="s">
        <v>308</v>
      </c>
      <c r="K25" s="72" t="s">
        <v>463</v>
      </c>
      <c r="L25" s="73" t="s">
        <v>464</v>
      </c>
      <c r="M25" s="70" t="s">
        <v>519</v>
      </c>
      <c r="N25" s="77" t="s">
        <v>520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3BB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489</v>
      </c>
      <c r="J26" s="66" t="s">
        <v>314</v>
      </c>
      <c r="K26" s="72" t="s">
        <v>463</v>
      </c>
      <c r="L26" s="73" t="s">
        <v>464</v>
      </c>
      <c r="M26" s="70" t="s">
        <v>541</v>
      </c>
      <c r="N26" s="77" t="s">
        <v>542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3BC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479</v>
      </c>
      <c r="G27" s="72"/>
      <c r="H27" s="66" t="s">
        <v>292</v>
      </c>
      <c r="I27" s="65" t="s">
        <v>315</v>
      </c>
      <c r="J27" s="66" t="s">
        <v>476</v>
      </c>
      <c r="K27" s="72" t="s">
        <v>463</v>
      </c>
      <c r="L27" s="73" t="s">
        <v>464</v>
      </c>
      <c r="M27" s="70" t="s">
        <v>154</v>
      </c>
      <c r="N27" s="77" t="s">
        <v>132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3BD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3BE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3BF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1">
    <tabColor rgb="FF92D050"/>
    <pageSetUpPr fitToPage="1"/>
  </sheetPr>
  <dimension ref="A1:AK47"/>
  <sheetViews>
    <sheetView zoomScale="70" zoomScaleNormal="70" workbookViewId="0">
      <pane ySplit="2" topLeftCell="A5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01" customWidth="1"/>
    <col min="2" max="2" width="9.33203125" style="401" customWidth="1"/>
    <col min="3" max="3" width="8.44140625" style="401" customWidth="1"/>
    <col min="4" max="4" width="9.109375" style="401" customWidth="1"/>
    <col min="5" max="5" width="7.33203125" style="401" customWidth="1"/>
    <col min="6" max="6" width="8.88671875" style="401" customWidth="1"/>
    <col min="7" max="7" width="5.6640625" style="401" customWidth="1"/>
    <col min="8" max="8" width="7.44140625" style="401" customWidth="1"/>
    <col min="9" max="9" width="10.33203125" style="401" customWidth="1"/>
    <col min="10" max="10" width="13.5546875" style="401" customWidth="1"/>
    <col min="11" max="11" width="4.6640625" style="401" customWidth="1"/>
    <col min="12" max="12" width="8" style="401" customWidth="1"/>
    <col min="13" max="13" width="20.6640625" style="403" customWidth="1"/>
    <col min="14" max="14" width="50.6640625" style="403" customWidth="1"/>
    <col min="15" max="15" width="11.44140625" style="399"/>
    <col min="16" max="17" width="11.44140625" style="446"/>
    <col min="18" max="177" width="11.44140625" style="399"/>
    <col min="178" max="178" width="7.6640625" style="399" customWidth="1"/>
    <col min="179" max="181" width="2.6640625" style="399" customWidth="1"/>
    <col min="182" max="182" width="7.6640625" style="399" customWidth="1"/>
    <col min="183" max="228" width="2.6640625" style="399" customWidth="1"/>
    <col min="229" max="229" width="18.5546875" style="399" customWidth="1"/>
    <col min="230" max="433" width="11.44140625" style="399"/>
    <col min="434" max="434" width="7.6640625" style="399" customWidth="1"/>
    <col min="435" max="437" width="2.6640625" style="399" customWidth="1"/>
    <col min="438" max="438" width="7.6640625" style="399" customWidth="1"/>
    <col min="439" max="484" width="2.6640625" style="399" customWidth="1"/>
    <col min="485" max="485" width="18.5546875" style="399" customWidth="1"/>
    <col min="486" max="689" width="11.44140625" style="399"/>
    <col min="690" max="690" width="7.6640625" style="399" customWidth="1"/>
    <col min="691" max="693" width="2.6640625" style="399" customWidth="1"/>
    <col min="694" max="694" width="7.6640625" style="399" customWidth="1"/>
    <col min="695" max="740" width="2.6640625" style="399" customWidth="1"/>
    <col min="741" max="741" width="18.5546875" style="399" customWidth="1"/>
    <col min="742" max="945" width="11.44140625" style="399"/>
    <col min="946" max="946" width="7.6640625" style="399" customWidth="1"/>
    <col min="947" max="949" width="2.6640625" style="399" customWidth="1"/>
    <col min="950" max="950" width="7.6640625" style="399" customWidth="1"/>
    <col min="951" max="996" width="2.6640625" style="399" customWidth="1"/>
    <col min="997" max="997" width="18.5546875" style="399" customWidth="1"/>
    <col min="998" max="1201" width="11.44140625" style="399"/>
    <col min="1202" max="1202" width="7.6640625" style="399" customWidth="1"/>
    <col min="1203" max="1205" width="2.6640625" style="399" customWidth="1"/>
    <col min="1206" max="1206" width="7.6640625" style="399" customWidth="1"/>
    <col min="1207" max="1252" width="2.6640625" style="399" customWidth="1"/>
    <col min="1253" max="1253" width="18.5546875" style="399" customWidth="1"/>
    <col min="1254" max="1457" width="11.44140625" style="399"/>
    <col min="1458" max="1458" width="7.6640625" style="399" customWidth="1"/>
    <col min="1459" max="1461" width="2.6640625" style="399" customWidth="1"/>
    <col min="1462" max="1462" width="7.6640625" style="399" customWidth="1"/>
    <col min="1463" max="1508" width="2.6640625" style="399" customWidth="1"/>
    <col min="1509" max="1509" width="18.5546875" style="399" customWidth="1"/>
    <col min="1510" max="1713" width="11.44140625" style="399"/>
    <col min="1714" max="1714" width="7.6640625" style="399" customWidth="1"/>
    <col min="1715" max="1717" width="2.6640625" style="399" customWidth="1"/>
    <col min="1718" max="1718" width="7.6640625" style="399" customWidth="1"/>
    <col min="1719" max="1764" width="2.6640625" style="399" customWidth="1"/>
    <col min="1765" max="1765" width="18.5546875" style="399" customWidth="1"/>
    <col min="1766" max="1969" width="11.44140625" style="399"/>
    <col min="1970" max="1970" width="7.6640625" style="399" customWidth="1"/>
    <col min="1971" max="1973" width="2.6640625" style="399" customWidth="1"/>
    <col min="1974" max="1974" width="7.6640625" style="399" customWidth="1"/>
    <col min="1975" max="2020" width="2.6640625" style="399" customWidth="1"/>
    <col min="2021" max="2021" width="18.5546875" style="399" customWidth="1"/>
    <col min="2022" max="2225" width="11.44140625" style="399"/>
    <col min="2226" max="2226" width="7.6640625" style="399" customWidth="1"/>
    <col min="2227" max="2229" width="2.6640625" style="399" customWidth="1"/>
    <col min="2230" max="2230" width="7.6640625" style="399" customWidth="1"/>
    <col min="2231" max="2276" width="2.6640625" style="399" customWidth="1"/>
    <col min="2277" max="2277" width="18.5546875" style="399" customWidth="1"/>
    <col min="2278" max="2481" width="11.44140625" style="399"/>
    <col min="2482" max="2482" width="7.6640625" style="399" customWidth="1"/>
    <col min="2483" max="2485" width="2.6640625" style="399" customWidth="1"/>
    <col min="2486" max="2486" width="7.6640625" style="399" customWidth="1"/>
    <col min="2487" max="2532" width="2.6640625" style="399" customWidth="1"/>
    <col min="2533" max="2533" width="18.5546875" style="399" customWidth="1"/>
    <col min="2534" max="2737" width="11.44140625" style="399"/>
    <col min="2738" max="2738" width="7.6640625" style="399" customWidth="1"/>
    <col min="2739" max="2741" width="2.6640625" style="399" customWidth="1"/>
    <col min="2742" max="2742" width="7.6640625" style="399" customWidth="1"/>
    <col min="2743" max="2788" width="2.6640625" style="399" customWidth="1"/>
    <col min="2789" max="2789" width="18.5546875" style="399" customWidth="1"/>
    <col min="2790" max="2993" width="11.44140625" style="399"/>
    <col min="2994" max="2994" width="7.6640625" style="399" customWidth="1"/>
    <col min="2995" max="2997" width="2.6640625" style="399" customWidth="1"/>
    <col min="2998" max="2998" width="7.6640625" style="399" customWidth="1"/>
    <col min="2999" max="3044" width="2.6640625" style="399" customWidth="1"/>
    <col min="3045" max="3045" width="18.5546875" style="399" customWidth="1"/>
    <col min="3046" max="3249" width="11.44140625" style="399"/>
    <col min="3250" max="3250" width="7.6640625" style="399" customWidth="1"/>
    <col min="3251" max="3253" width="2.6640625" style="399" customWidth="1"/>
    <col min="3254" max="3254" width="7.6640625" style="399" customWidth="1"/>
    <col min="3255" max="3300" width="2.6640625" style="399" customWidth="1"/>
    <col min="3301" max="3301" width="18.5546875" style="399" customWidth="1"/>
    <col min="3302" max="3505" width="11.44140625" style="399"/>
    <col min="3506" max="3506" width="7.6640625" style="399" customWidth="1"/>
    <col min="3507" max="3509" width="2.6640625" style="399" customWidth="1"/>
    <col min="3510" max="3510" width="7.6640625" style="399" customWidth="1"/>
    <col min="3511" max="3556" width="2.6640625" style="399" customWidth="1"/>
    <col min="3557" max="3557" width="18.5546875" style="399" customWidth="1"/>
    <col min="3558" max="3761" width="11.44140625" style="399"/>
    <col min="3762" max="3762" width="7.6640625" style="399" customWidth="1"/>
    <col min="3763" max="3765" width="2.6640625" style="399" customWidth="1"/>
    <col min="3766" max="3766" width="7.6640625" style="399" customWidth="1"/>
    <col min="3767" max="3812" width="2.6640625" style="399" customWidth="1"/>
    <col min="3813" max="3813" width="18.5546875" style="399" customWidth="1"/>
    <col min="3814" max="4017" width="11.44140625" style="399"/>
    <col min="4018" max="4018" width="7.6640625" style="399" customWidth="1"/>
    <col min="4019" max="4021" width="2.6640625" style="399" customWidth="1"/>
    <col min="4022" max="4022" width="7.6640625" style="399" customWidth="1"/>
    <col min="4023" max="4068" width="2.6640625" style="399" customWidth="1"/>
    <col min="4069" max="4069" width="18.5546875" style="399" customWidth="1"/>
    <col min="4070" max="4273" width="11.44140625" style="399"/>
    <col min="4274" max="4274" width="7.6640625" style="399" customWidth="1"/>
    <col min="4275" max="4277" width="2.6640625" style="399" customWidth="1"/>
    <col min="4278" max="4278" width="7.6640625" style="399" customWidth="1"/>
    <col min="4279" max="4324" width="2.6640625" style="399" customWidth="1"/>
    <col min="4325" max="4325" width="18.5546875" style="399" customWidth="1"/>
    <col min="4326" max="4529" width="11.44140625" style="399"/>
    <col min="4530" max="4530" width="7.6640625" style="399" customWidth="1"/>
    <col min="4531" max="4533" width="2.6640625" style="399" customWidth="1"/>
    <col min="4534" max="4534" width="7.6640625" style="399" customWidth="1"/>
    <col min="4535" max="4580" width="2.6640625" style="399" customWidth="1"/>
    <col min="4581" max="4581" width="18.5546875" style="399" customWidth="1"/>
    <col min="4582" max="4785" width="11.44140625" style="399"/>
    <col min="4786" max="4786" width="7.6640625" style="399" customWidth="1"/>
    <col min="4787" max="4789" width="2.6640625" style="399" customWidth="1"/>
    <col min="4790" max="4790" width="7.6640625" style="399" customWidth="1"/>
    <col min="4791" max="4836" width="2.6640625" style="399" customWidth="1"/>
    <col min="4837" max="4837" width="18.5546875" style="399" customWidth="1"/>
    <col min="4838" max="5041" width="11.44140625" style="399"/>
    <col min="5042" max="5042" width="7.6640625" style="399" customWidth="1"/>
    <col min="5043" max="5045" width="2.6640625" style="399" customWidth="1"/>
    <col min="5046" max="5046" width="7.6640625" style="399" customWidth="1"/>
    <col min="5047" max="5092" width="2.6640625" style="399" customWidth="1"/>
    <col min="5093" max="5093" width="18.5546875" style="399" customWidth="1"/>
    <col min="5094" max="5297" width="11.44140625" style="399"/>
    <col min="5298" max="5298" width="7.6640625" style="399" customWidth="1"/>
    <col min="5299" max="5301" width="2.6640625" style="399" customWidth="1"/>
    <col min="5302" max="5302" width="7.6640625" style="399" customWidth="1"/>
    <col min="5303" max="5348" width="2.6640625" style="399" customWidth="1"/>
    <col min="5349" max="5349" width="18.5546875" style="399" customWidth="1"/>
    <col min="5350" max="5553" width="11.44140625" style="399"/>
    <col min="5554" max="5554" width="7.6640625" style="399" customWidth="1"/>
    <col min="5555" max="5557" width="2.6640625" style="399" customWidth="1"/>
    <col min="5558" max="5558" width="7.6640625" style="399" customWidth="1"/>
    <col min="5559" max="5604" width="2.6640625" style="399" customWidth="1"/>
    <col min="5605" max="5605" width="18.5546875" style="399" customWidth="1"/>
    <col min="5606" max="5809" width="11.44140625" style="399"/>
    <col min="5810" max="5810" width="7.6640625" style="399" customWidth="1"/>
    <col min="5811" max="5813" width="2.6640625" style="399" customWidth="1"/>
    <col min="5814" max="5814" width="7.6640625" style="399" customWidth="1"/>
    <col min="5815" max="5860" width="2.6640625" style="399" customWidth="1"/>
    <col min="5861" max="5861" width="18.5546875" style="399" customWidth="1"/>
    <col min="5862" max="6065" width="11.44140625" style="399"/>
    <col min="6066" max="6066" width="7.6640625" style="399" customWidth="1"/>
    <col min="6067" max="6069" width="2.6640625" style="399" customWidth="1"/>
    <col min="6070" max="6070" width="7.6640625" style="399" customWidth="1"/>
    <col min="6071" max="6116" width="2.6640625" style="399" customWidth="1"/>
    <col min="6117" max="6117" width="18.5546875" style="399" customWidth="1"/>
    <col min="6118" max="6321" width="11.44140625" style="399"/>
    <col min="6322" max="6322" width="7.6640625" style="399" customWidth="1"/>
    <col min="6323" max="6325" width="2.6640625" style="399" customWidth="1"/>
    <col min="6326" max="6326" width="7.6640625" style="399" customWidth="1"/>
    <col min="6327" max="6372" width="2.6640625" style="399" customWidth="1"/>
    <col min="6373" max="6373" width="18.5546875" style="399" customWidth="1"/>
    <col min="6374" max="6577" width="11.44140625" style="399"/>
    <col min="6578" max="6578" width="7.6640625" style="399" customWidth="1"/>
    <col min="6579" max="6581" width="2.6640625" style="399" customWidth="1"/>
    <col min="6582" max="6582" width="7.6640625" style="399" customWidth="1"/>
    <col min="6583" max="6628" width="2.6640625" style="399" customWidth="1"/>
    <col min="6629" max="6629" width="18.5546875" style="399" customWidth="1"/>
    <col min="6630" max="6833" width="11.44140625" style="399"/>
    <col min="6834" max="6834" width="7.6640625" style="399" customWidth="1"/>
    <col min="6835" max="6837" width="2.6640625" style="399" customWidth="1"/>
    <col min="6838" max="6838" width="7.6640625" style="399" customWidth="1"/>
    <col min="6839" max="6884" width="2.6640625" style="399" customWidth="1"/>
    <col min="6885" max="6885" width="18.5546875" style="399" customWidth="1"/>
    <col min="6886" max="7089" width="11.44140625" style="399"/>
    <col min="7090" max="7090" width="7.6640625" style="399" customWidth="1"/>
    <col min="7091" max="7093" width="2.6640625" style="399" customWidth="1"/>
    <col min="7094" max="7094" width="7.6640625" style="399" customWidth="1"/>
    <col min="7095" max="7140" width="2.6640625" style="399" customWidth="1"/>
    <col min="7141" max="7141" width="18.5546875" style="399" customWidth="1"/>
    <col min="7142" max="7345" width="11.44140625" style="399"/>
    <col min="7346" max="7346" width="7.6640625" style="399" customWidth="1"/>
    <col min="7347" max="7349" width="2.6640625" style="399" customWidth="1"/>
    <col min="7350" max="7350" width="7.6640625" style="399" customWidth="1"/>
    <col min="7351" max="7396" width="2.6640625" style="399" customWidth="1"/>
    <col min="7397" max="7397" width="18.5546875" style="399" customWidth="1"/>
    <col min="7398" max="7601" width="11.44140625" style="399"/>
    <col min="7602" max="7602" width="7.6640625" style="399" customWidth="1"/>
    <col min="7603" max="7605" width="2.6640625" style="399" customWidth="1"/>
    <col min="7606" max="7606" width="7.6640625" style="399" customWidth="1"/>
    <col min="7607" max="7652" width="2.6640625" style="399" customWidth="1"/>
    <col min="7653" max="7653" width="18.5546875" style="399" customWidth="1"/>
    <col min="7654" max="7857" width="11.44140625" style="399"/>
    <col min="7858" max="7858" width="7.6640625" style="399" customWidth="1"/>
    <col min="7859" max="7861" width="2.6640625" style="399" customWidth="1"/>
    <col min="7862" max="7862" width="7.6640625" style="399" customWidth="1"/>
    <col min="7863" max="7908" width="2.6640625" style="399" customWidth="1"/>
    <col min="7909" max="7909" width="18.5546875" style="399" customWidth="1"/>
    <col min="7910" max="8113" width="11.44140625" style="399"/>
    <col min="8114" max="8114" width="7.6640625" style="399" customWidth="1"/>
    <col min="8115" max="8117" width="2.6640625" style="399" customWidth="1"/>
    <col min="8118" max="8118" width="7.6640625" style="399" customWidth="1"/>
    <col min="8119" max="8164" width="2.6640625" style="399" customWidth="1"/>
    <col min="8165" max="8165" width="18.5546875" style="399" customWidth="1"/>
    <col min="8166" max="8369" width="11.44140625" style="399"/>
    <col min="8370" max="8370" width="7.6640625" style="399" customWidth="1"/>
    <col min="8371" max="8373" width="2.6640625" style="399" customWidth="1"/>
    <col min="8374" max="8374" width="7.6640625" style="399" customWidth="1"/>
    <col min="8375" max="8420" width="2.6640625" style="399" customWidth="1"/>
    <col min="8421" max="8421" width="18.5546875" style="399" customWidth="1"/>
    <col min="8422" max="8625" width="11.44140625" style="399"/>
    <col min="8626" max="8626" width="7.6640625" style="399" customWidth="1"/>
    <col min="8627" max="8629" width="2.6640625" style="399" customWidth="1"/>
    <col min="8630" max="8630" width="7.6640625" style="399" customWidth="1"/>
    <col min="8631" max="8676" width="2.6640625" style="399" customWidth="1"/>
    <col min="8677" max="8677" width="18.5546875" style="399" customWidth="1"/>
    <col min="8678" max="8881" width="11.44140625" style="399"/>
    <col min="8882" max="8882" width="7.6640625" style="399" customWidth="1"/>
    <col min="8883" max="8885" width="2.6640625" style="399" customWidth="1"/>
    <col min="8886" max="8886" width="7.6640625" style="399" customWidth="1"/>
    <col min="8887" max="8932" width="2.6640625" style="399" customWidth="1"/>
    <col min="8933" max="8933" width="18.5546875" style="399" customWidth="1"/>
    <col min="8934" max="9137" width="11.44140625" style="399"/>
    <col min="9138" max="9138" width="7.6640625" style="399" customWidth="1"/>
    <col min="9139" max="9141" width="2.6640625" style="399" customWidth="1"/>
    <col min="9142" max="9142" width="7.6640625" style="399" customWidth="1"/>
    <col min="9143" max="9188" width="2.6640625" style="399" customWidth="1"/>
    <col min="9189" max="9189" width="18.5546875" style="399" customWidth="1"/>
    <col min="9190" max="9393" width="11.44140625" style="399"/>
    <col min="9394" max="9394" width="7.6640625" style="399" customWidth="1"/>
    <col min="9395" max="9397" width="2.6640625" style="399" customWidth="1"/>
    <col min="9398" max="9398" width="7.6640625" style="399" customWidth="1"/>
    <col min="9399" max="9444" width="2.6640625" style="399" customWidth="1"/>
    <col min="9445" max="9445" width="18.5546875" style="399" customWidth="1"/>
    <col min="9446" max="9649" width="11.44140625" style="399"/>
    <col min="9650" max="9650" width="7.6640625" style="399" customWidth="1"/>
    <col min="9651" max="9653" width="2.6640625" style="399" customWidth="1"/>
    <col min="9654" max="9654" width="7.6640625" style="399" customWidth="1"/>
    <col min="9655" max="9700" width="2.6640625" style="399" customWidth="1"/>
    <col min="9701" max="9701" width="18.5546875" style="399" customWidth="1"/>
    <col min="9702" max="9905" width="11.44140625" style="399"/>
    <col min="9906" max="9906" width="7.6640625" style="399" customWidth="1"/>
    <col min="9907" max="9909" width="2.6640625" style="399" customWidth="1"/>
    <col min="9910" max="9910" width="7.6640625" style="399" customWidth="1"/>
    <col min="9911" max="9956" width="2.6640625" style="399" customWidth="1"/>
    <col min="9957" max="9957" width="18.5546875" style="399" customWidth="1"/>
    <col min="9958" max="10161" width="11.44140625" style="399"/>
    <col min="10162" max="10162" width="7.6640625" style="399" customWidth="1"/>
    <col min="10163" max="10165" width="2.6640625" style="399" customWidth="1"/>
    <col min="10166" max="10166" width="7.6640625" style="399" customWidth="1"/>
    <col min="10167" max="10212" width="2.6640625" style="399" customWidth="1"/>
    <col min="10213" max="10213" width="18.5546875" style="399" customWidth="1"/>
    <col min="10214" max="10417" width="11.44140625" style="399"/>
    <col min="10418" max="10418" width="7.6640625" style="399" customWidth="1"/>
    <col min="10419" max="10421" width="2.6640625" style="399" customWidth="1"/>
    <col min="10422" max="10422" width="7.6640625" style="399" customWidth="1"/>
    <col min="10423" max="10468" width="2.6640625" style="399" customWidth="1"/>
    <col min="10469" max="10469" width="18.5546875" style="399" customWidth="1"/>
    <col min="10470" max="10673" width="11.44140625" style="399"/>
    <col min="10674" max="10674" width="7.6640625" style="399" customWidth="1"/>
    <col min="10675" max="10677" width="2.6640625" style="399" customWidth="1"/>
    <col min="10678" max="10678" width="7.6640625" style="399" customWidth="1"/>
    <col min="10679" max="10724" width="2.6640625" style="399" customWidth="1"/>
    <col min="10725" max="10725" width="18.5546875" style="399" customWidth="1"/>
    <col min="10726" max="10929" width="11.44140625" style="399"/>
    <col min="10930" max="10930" width="7.6640625" style="399" customWidth="1"/>
    <col min="10931" max="10933" width="2.6640625" style="399" customWidth="1"/>
    <col min="10934" max="10934" width="7.6640625" style="399" customWidth="1"/>
    <col min="10935" max="10980" width="2.6640625" style="399" customWidth="1"/>
    <col min="10981" max="10981" width="18.5546875" style="399" customWidth="1"/>
    <col min="10982" max="11185" width="11.44140625" style="399"/>
    <col min="11186" max="11186" width="7.6640625" style="399" customWidth="1"/>
    <col min="11187" max="11189" width="2.6640625" style="399" customWidth="1"/>
    <col min="11190" max="11190" width="7.6640625" style="399" customWidth="1"/>
    <col min="11191" max="11236" width="2.6640625" style="399" customWidth="1"/>
    <col min="11237" max="11237" width="18.5546875" style="399" customWidth="1"/>
    <col min="11238" max="11441" width="11.44140625" style="399"/>
    <col min="11442" max="11442" width="7.6640625" style="399" customWidth="1"/>
    <col min="11443" max="11445" width="2.6640625" style="399" customWidth="1"/>
    <col min="11446" max="11446" width="7.6640625" style="399" customWidth="1"/>
    <col min="11447" max="11492" width="2.6640625" style="399" customWidth="1"/>
    <col min="11493" max="11493" width="18.5546875" style="399" customWidth="1"/>
    <col min="11494" max="11697" width="11.44140625" style="399"/>
    <col min="11698" max="11698" width="7.6640625" style="399" customWidth="1"/>
    <col min="11699" max="11701" width="2.6640625" style="399" customWidth="1"/>
    <col min="11702" max="11702" width="7.6640625" style="399" customWidth="1"/>
    <col min="11703" max="11748" width="2.6640625" style="399" customWidth="1"/>
    <col min="11749" max="11749" width="18.5546875" style="399" customWidth="1"/>
    <col min="11750" max="11953" width="11.44140625" style="399"/>
    <col min="11954" max="11954" width="7.6640625" style="399" customWidth="1"/>
    <col min="11955" max="11957" width="2.6640625" style="399" customWidth="1"/>
    <col min="11958" max="11958" width="7.6640625" style="399" customWidth="1"/>
    <col min="11959" max="12004" width="2.6640625" style="399" customWidth="1"/>
    <col min="12005" max="12005" width="18.5546875" style="399" customWidth="1"/>
    <col min="12006" max="12209" width="11.44140625" style="399"/>
    <col min="12210" max="12210" width="7.6640625" style="399" customWidth="1"/>
    <col min="12211" max="12213" width="2.6640625" style="399" customWidth="1"/>
    <col min="12214" max="12214" width="7.6640625" style="399" customWidth="1"/>
    <col min="12215" max="12260" width="2.6640625" style="399" customWidth="1"/>
    <col min="12261" max="12261" width="18.5546875" style="399" customWidth="1"/>
    <col min="12262" max="12465" width="11.44140625" style="399"/>
    <col min="12466" max="12466" width="7.6640625" style="399" customWidth="1"/>
    <col min="12467" max="12469" width="2.6640625" style="399" customWidth="1"/>
    <col min="12470" max="12470" width="7.6640625" style="399" customWidth="1"/>
    <col min="12471" max="12516" width="2.6640625" style="399" customWidth="1"/>
    <col min="12517" max="12517" width="18.5546875" style="399" customWidth="1"/>
    <col min="12518" max="12721" width="11.44140625" style="399"/>
    <col min="12722" max="12722" width="7.6640625" style="399" customWidth="1"/>
    <col min="12723" max="12725" width="2.6640625" style="399" customWidth="1"/>
    <col min="12726" max="12726" width="7.6640625" style="399" customWidth="1"/>
    <col min="12727" max="12772" width="2.6640625" style="399" customWidth="1"/>
    <col min="12773" max="12773" width="18.5546875" style="399" customWidth="1"/>
    <col min="12774" max="12977" width="11.44140625" style="399"/>
    <col min="12978" max="12978" width="7.6640625" style="399" customWidth="1"/>
    <col min="12979" max="12981" width="2.6640625" style="399" customWidth="1"/>
    <col min="12982" max="12982" width="7.6640625" style="399" customWidth="1"/>
    <col min="12983" max="13028" width="2.6640625" style="399" customWidth="1"/>
    <col min="13029" max="13029" width="18.5546875" style="399" customWidth="1"/>
    <col min="13030" max="13233" width="11.44140625" style="399"/>
    <col min="13234" max="13234" width="7.6640625" style="399" customWidth="1"/>
    <col min="13235" max="13237" width="2.6640625" style="399" customWidth="1"/>
    <col min="13238" max="13238" width="7.6640625" style="399" customWidth="1"/>
    <col min="13239" max="13284" width="2.6640625" style="399" customWidth="1"/>
    <col min="13285" max="13285" width="18.5546875" style="399" customWidth="1"/>
    <col min="13286" max="13489" width="11.44140625" style="399"/>
    <col min="13490" max="13490" width="7.6640625" style="399" customWidth="1"/>
    <col min="13491" max="13493" width="2.6640625" style="399" customWidth="1"/>
    <col min="13494" max="13494" width="7.6640625" style="399" customWidth="1"/>
    <col min="13495" max="13540" width="2.6640625" style="399" customWidth="1"/>
    <col min="13541" max="13541" width="18.5546875" style="399" customWidth="1"/>
    <col min="13542" max="13745" width="11.44140625" style="399"/>
    <col min="13746" max="13746" width="7.6640625" style="399" customWidth="1"/>
    <col min="13747" max="13749" width="2.6640625" style="399" customWidth="1"/>
    <col min="13750" max="13750" width="7.6640625" style="399" customWidth="1"/>
    <col min="13751" max="13796" width="2.6640625" style="399" customWidth="1"/>
    <col min="13797" max="13797" width="18.5546875" style="399" customWidth="1"/>
    <col min="13798" max="14001" width="11.44140625" style="399"/>
    <col min="14002" max="14002" width="7.6640625" style="399" customWidth="1"/>
    <col min="14003" max="14005" width="2.6640625" style="399" customWidth="1"/>
    <col min="14006" max="14006" width="7.6640625" style="399" customWidth="1"/>
    <col min="14007" max="14052" width="2.6640625" style="399" customWidth="1"/>
    <col min="14053" max="14053" width="18.5546875" style="399" customWidth="1"/>
    <col min="14054" max="14257" width="11.44140625" style="399"/>
    <col min="14258" max="14258" width="7.6640625" style="399" customWidth="1"/>
    <col min="14259" max="14261" width="2.6640625" style="399" customWidth="1"/>
    <col min="14262" max="14262" width="7.6640625" style="399" customWidth="1"/>
    <col min="14263" max="14308" width="2.6640625" style="399" customWidth="1"/>
    <col min="14309" max="14309" width="18.5546875" style="399" customWidth="1"/>
    <col min="14310" max="14513" width="11.44140625" style="399"/>
    <col min="14514" max="14514" width="7.6640625" style="399" customWidth="1"/>
    <col min="14515" max="14517" width="2.6640625" style="399" customWidth="1"/>
    <col min="14518" max="14518" width="7.6640625" style="399" customWidth="1"/>
    <col min="14519" max="14564" width="2.6640625" style="399" customWidth="1"/>
    <col min="14565" max="14565" width="18.5546875" style="399" customWidth="1"/>
    <col min="14566" max="14769" width="11.44140625" style="399"/>
    <col min="14770" max="14770" width="7.6640625" style="399" customWidth="1"/>
    <col min="14771" max="14773" width="2.6640625" style="399" customWidth="1"/>
    <col min="14774" max="14774" width="7.6640625" style="399" customWidth="1"/>
    <col min="14775" max="14820" width="2.6640625" style="399" customWidth="1"/>
    <col min="14821" max="14821" width="18.5546875" style="399" customWidth="1"/>
    <col min="14822" max="15025" width="11.44140625" style="399"/>
    <col min="15026" max="15026" width="7.6640625" style="399" customWidth="1"/>
    <col min="15027" max="15029" width="2.6640625" style="399" customWidth="1"/>
    <col min="15030" max="15030" width="7.6640625" style="399" customWidth="1"/>
    <col min="15031" max="15076" width="2.6640625" style="399" customWidth="1"/>
    <col min="15077" max="15077" width="18.5546875" style="399" customWidth="1"/>
    <col min="15078" max="15281" width="11.44140625" style="399"/>
    <col min="15282" max="15282" width="7.6640625" style="399" customWidth="1"/>
    <col min="15283" max="15285" width="2.6640625" style="399" customWidth="1"/>
    <col min="15286" max="15286" width="7.6640625" style="399" customWidth="1"/>
    <col min="15287" max="15332" width="2.6640625" style="399" customWidth="1"/>
    <col min="15333" max="15333" width="18.5546875" style="399" customWidth="1"/>
    <col min="15334" max="15537" width="11.44140625" style="399"/>
    <col min="15538" max="15538" width="7.6640625" style="399" customWidth="1"/>
    <col min="15539" max="15541" width="2.6640625" style="399" customWidth="1"/>
    <col min="15542" max="15542" width="7.6640625" style="399" customWidth="1"/>
    <col min="15543" max="15588" width="2.6640625" style="399" customWidth="1"/>
    <col min="15589" max="15589" width="18.5546875" style="399" customWidth="1"/>
    <col min="15590" max="15793" width="11.44140625" style="399"/>
    <col min="15794" max="15794" width="7.6640625" style="399" customWidth="1"/>
    <col min="15795" max="15797" width="2.6640625" style="399" customWidth="1"/>
    <col min="15798" max="15798" width="7.6640625" style="399" customWidth="1"/>
    <col min="15799" max="15844" width="2.6640625" style="399" customWidth="1"/>
    <col min="15845" max="15845" width="18.5546875" style="399" customWidth="1"/>
    <col min="15846" max="16049" width="11.44140625" style="399"/>
    <col min="16050" max="16050" width="7.6640625" style="399" customWidth="1"/>
    <col min="16051" max="16053" width="2.6640625" style="399" customWidth="1"/>
    <col min="16054" max="16054" width="7.6640625" style="399" customWidth="1"/>
    <col min="16055" max="16100" width="2.6640625" style="399" customWidth="1"/>
    <col min="16101" max="16101" width="18.5546875" style="399" customWidth="1"/>
    <col min="16102" max="16384" width="11.44140625" style="399"/>
  </cols>
  <sheetData>
    <row r="1" spans="1:37" s="406" customFormat="1" ht="31.5" customHeight="1" thickTop="1" thickBot="1" x14ac:dyDescent="0.35">
      <c r="A1" s="419" t="s">
        <v>783</v>
      </c>
      <c r="B1" s="420"/>
      <c r="C1" s="421"/>
      <c r="D1" s="420"/>
      <c r="E1" s="422" t="s">
        <v>29</v>
      </c>
      <c r="F1" s="421"/>
      <c r="G1" s="421" t="str">
        <f>'Decoder Table'!A66</f>
        <v>0xD7</v>
      </c>
      <c r="H1" s="421"/>
      <c r="I1" s="422" t="s">
        <v>471</v>
      </c>
      <c r="J1" s="421"/>
      <c r="K1" s="421"/>
      <c r="L1" s="421" t="str">
        <f>CONCATENATE("0x",'Decoder Table'!B66)</f>
        <v>0x538</v>
      </c>
      <c r="M1" s="421"/>
      <c r="N1" s="423" t="s">
        <v>800</v>
      </c>
      <c r="P1" s="459"/>
      <c r="Q1" s="459"/>
    </row>
    <row r="2" spans="1:37" s="400" customFormat="1" ht="167.25" customHeight="1" thickTop="1" thickBot="1" x14ac:dyDescent="0.35">
      <c r="A2" s="413" t="s">
        <v>32</v>
      </c>
      <c r="B2" s="414" t="s">
        <v>33</v>
      </c>
      <c r="C2" s="414" t="s">
        <v>467</v>
      </c>
      <c r="D2" s="414" t="s">
        <v>465</v>
      </c>
      <c r="E2" s="414" t="s">
        <v>34</v>
      </c>
      <c r="F2" s="414" t="s">
        <v>458</v>
      </c>
      <c r="G2" s="415" t="s">
        <v>466</v>
      </c>
      <c r="H2" s="414" t="s">
        <v>468</v>
      </c>
      <c r="I2" s="414" t="s">
        <v>469</v>
      </c>
      <c r="J2" s="414" t="s">
        <v>470</v>
      </c>
      <c r="K2" s="414" t="s">
        <v>459</v>
      </c>
      <c r="L2" s="416" t="s">
        <v>460</v>
      </c>
      <c r="M2" s="417" t="s">
        <v>461</v>
      </c>
      <c r="N2" s="418" t="s">
        <v>30</v>
      </c>
      <c r="O2" s="405"/>
      <c r="P2" s="447"/>
      <c r="Q2" s="447"/>
    </row>
    <row r="3" spans="1:37" ht="15" thickBot="1" x14ac:dyDescent="0.35">
      <c r="A3" s="408" t="s">
        <v>2</v>
      </c>
      <c r="B3" s="409"/>
      <c r="C3" s="410"/>
      <c r="D3" s="410"/>
      <c r="E3" s="410"/>
      <c r="F3" s="410"/>
      <c r="G3" s="409"/>
      <c r="H3" s="410"/>
      <c r="I3" s="410"/>
      <c r="J3" s="410"/>
      <c r="K3" s="409"/>
      <c r="L3" s="409"/>
      <c r="M3" s="411"/>
      <c r="N3" s="412" t="s">
        <v>2</v>
      </c>
      <c r="O3" s="405"/>
      <c r="P3" s="447"/>
      <c r="Q3" s="447"/>
      <c r="R3" s="400"/>
      <c r="S3" s="400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0"/>
      <c r="AE3" s="400"/>
      <c r="AF3" s="400"/>
      <c r="AG3" s="400"/>
      <c r="AH3" s="400"/>
      <c r="AI3" s="400"/>
      <c r="AJ3" s="400"/>
      <c r="AK3" s="400"/>
    </row>
    <row r="4" spans="1:37" ht="15" thickBot="1" x14ac:dyDescent="0.35">
      <c r="A4" s="408" t="s">
        <v>8</v>
      </c>
      <c r="B4" s="409"/>
      <c r="C4" s="410"/>
      <c r="D4" s="410"/>
      <c r="E4" s="410"/>
      <c r="F4" s="410"/>
      <c r="G4" s="409"/>
      <c r="H4" s="410"/>
      <c r="I4" s="410"/>
      <c r="J4" s="410"/>
      <c r="K4" s="409"/>
      <c r="L4" s="409"/>
      <c r="M4" s="411"/>
      <c r="N4" s="412" t="s">
        <v>9</v>
      </c>
      <c r="O4" s="405"/>
      <c r="P4" s="447"/>
      <c r="Q4" s="447"/>
      <c r="R4" s="400"/>
      <c r="S4" s="400"/>
      <c r="T4" s="400"/>
      <c r="U4" s="400"/>
      <c r="V4" s="400"/>
      <c r="W4" s="400"/>
      <c r="X4" s="400"/>
      <c r="Y4" s="400"/>
      <c r="Z4" s="400"/>
      <c r="AA4" s="400"/>
      <c r="AB4" s="400"/>
      <c r="AC4" s="400"/>
      <c r="AD4" s="400"/>
      <c r="AE4" s="400"/>
      <c r="AF4" s="400"/>
      <c r="AG4" s="400"/>
      <c r="AH4" s="400"/>
      <c r="AI4" s="400"/>
      <c r="AJ4" s="400"/>
      <c r="AK4" s="400"/>
    </row>
    <row r="5" spans="1:37" s="404" customFormat="1" x14ac:dyDescent="0.3">
      <c r="A5" s="456" t="str">
        <f>IF(MID($L$1,3,1)="0",CONCATENATE("0",DEC2HEX(HEX2DEC(MID($L$1,3,3))+0)),DEC2HEX(HEX2DEC(MID($L$1,3,3))+0))</f>
        <v>538</v>
      </c>
      <c r="B5" s="427" t="s">
        <v>462</v>
      </c>
      <c r="C5" s="424" t="s">
        <v>476</v>
      </c>
      <c r="D5" s="424" t="s">
        <v>476</v>
      </c>
      <c r="E5" s="424" t="s">
        <v>476</v>
      </c>
      <c r="F5" s="424" t="s">
        <v>476</v>
      </c>
      <c r="G5" s="427"/>
      <c r="H5" s="425" t="s">
        <v>476</v>
      </c>
      <c r="I5" s="424" t="s">
        <v>312</v>
      </c>
      <c r="J5" s="424" t="s">
        <v>309</v>
      </c>
      <c r="K5" s="427" t="s">
        <v>463</v>
      </c>
      <c r="L5" s="428" t="s">
        <v>464</v>
      </c>
      <c r="M5" s="429" t="s">
        <v>490</v>
      </c>
      <c r="N5" s="430" t="s">
        <v>46</v>
      </c>
      <c r="O5" s="405"/>
      <c r="P5" s="447"/>
      <c r="Q5" s="447"/>
      <c r="R5" s="400"/>
      <c r="S5" s="400"/>
      <c r="T5" s="400"/>
      <c r="U5" s="400"/>
      <c r="V5" s="400"/>
      <c r="W5" s="400"/>
      <c r="X5" s="400"/>
      <c r="Y5" s="400"/>
      <c r="Z5" s="400"/>
      <c r="AA5" s="400"/>
      <c r="AB5" s="400"/>
      <c r="AC5" s="400"/>
      <c r="AD5" s="400"/>
      <c r="AE5" s="400"/>
      <c r="AF5" s="400"/>
      <c r="AG5" s="400"/>
      <c r="AH5" s="400"/>
      <c r="AI5" s="400"/>
      <c r="AJ5" s="400"/>
      <c r="AK5" s="400"/>
    </row>
    <row r="6" spans="1:37" s="404" customFormat="1" x14ac:dyDescent="0.3">
      <c r="A6" s="456" t="str">
        <f>IF(MID($L$1,3,1)="0",CONCATENATE("0",DEC2HEX(HEX2DEC(MID($L$1,3,3))+1)),DEC2HEX(HEX2DEC(MID($L$1,3,3))+1))</f>
        <v>539</v>
      </c>
      <c r="B6" s="431" t="s">
        <v>462</v>
      </c>
      <c r="C6" s="425" t="s">
        <v>476</v>
      </c>
      <c r="D6" s="425" t="s">
        <v>476</v>
      </c>
      <c r="E6" s="424" t="s">
        <v>476</v>
      </c>
      <c r="F6" s="425" t="s">
        <v>476</v>
      </c>
      <c r="G6" s="431"/>
      <c r="H6" s="425" t="s">
        <v>476</v>
      </c>
      <c r="I6" s="424" t="s">
        <v>313</v>
      </c>
      <c r="J6" s="425" t="s">
        <v>487</v>
      </c>
      <c r="K6" s="431" t="s">
        <v>463</v>
      </c>
      <c r="L6" s="432" t="s">
        <v>464</v>
      </c>
      <c r="M6" s="429" t="s">
        <v>14</v>
      </c>
      <c r="N6" s="433" t="s">
        <v>81</v>
      </c>
      <c r="O6" s="405"/>
      <c r="P6" s="447"/>
      <c r="Q6" s="447"/>
      <c r="R6" s="400"/>
      <c r="S6" s="400"/>
      <c r="T6" s="400"/>
      <c r="U6" s="400"/>
      <c r="V6" s="400"/>
      <c r="W6" s="400"/>
      <c r="X6" s="400"/>
      <c r="Y6" s="400"/>
      <c r="Z6" s="400"/>
      <c r="AA6" s="400"/>
      <c r="AB6" s="400"/>
      <c r="AC6" s="400"/>
      <c r="AD6" s="400"/>
      <c r="AE6" s="400"/>
      <c r="AF6" s="400"/>
      <c r="AG6" s="400"/>
      <c r="AH6" s="400"/>
      <c r="AI6" s="400"/>
      <c r="AJ6" s="400"/>
      <c r="AK6" s="400"/>
    </row>
    <row r="7" spans="1:37" s="404" customFormat="1" x14ac:dyDescent="0.3">
      <c r="A7" s="456" t="str">
        <f>IF(MID($L$1,3,1)="0",CONCATENATE("0",DEC2HEX(HEX2DEC(MID($L$1,3,3))+2)),DEC2HEX(HEX2DEC(MID($L$1,3,3))+2))</f>
        <v>53A</v>
      </c>
      <c r="B7" s="431" t="s">
        <v>462</v>
      </c>
      <c r="C7" s="425" t="s">
        <v>476</v>
      </c>
      <c r="D7" s="425" t="s">
        <v>476</v>
      </c>
      <c r="E7" s="424" t="s">
        <v>476</v>
      </c>
      <c r="F7" s="425" t="s">
        <v>476</v>
      </c>
      <c r="G7" s="431"/>
      <c r="H7" s="425" t="s">
        <v>476</v>
      </c>
      <c r="I7" s="424" t="s">
        <v>306</v>
      </c>
      <c r="J7" s="425" t="s">
        <v>314</v>
      </c>
      <c r="K7" s="431" t="s">
        <v>463</v>
      </c>
      <c r="L7" s="432" t="s">
        <v>464</v>
      </c>
      <c r="M7" s="429" t="s">
        <v>494</v>
      </c>
      <c r="N7" s="433" t="s">
        <v>56</v>
      </c>
      <c r="O7" s="405"/>
      <c r="P7" s="447"/>
      <c r="Q7" s="447"/>
      <c r="R7" s="400"/>
      <c r="S7" s="400"/>
      <c r="T7" s="400"/>
      <c r="U7" s="400"/>
      <c r="V7" s="400"/>
      <c r="W7" s="400"/>
      <c r="X7" s="400"/>
      <c r="Y7" s="400"/>
      <c r="Z7" s="400"/>
      <c r="AA7" s="400"/>
      <c r="AB7" s="400"/>
      <c r="AC7" s="400"/>
      <c r="AD7" s="400"/>
      <c r="AE7" s="400"/>
      <c r="AF7" s="400"/>
      <c r="AG7" s="400"/>
      <c r="AH7" s="400"/>
      <c r="AI7" s="400"/>
      <c r="AJ7" s="400"/>
      <c r="AK7" s="400"/>
    </row>
    <row r="8" spans="1:37" s="404" customFormat="1" x14ac:dyDescent="0.3">
      <c r="A8" s="456" t="str">
        <f>IF(MID($L$1,3,1)="0",CONCATENATE("0",DEC2HEX(HEX2DEC(MID($L$1,3,3))+3)),DEC2HEX(HEX2DEC(MID($L$1,3,3))+3))</f>
        <v>53B</v>
      </c>
      <c r="B8" s="431" t="s">
        <v>462</v>
      </c>
      <c r="C8" s="425" t="s">
        <v>476</v>
      </c>
      <c r="D8" s="425" t="s">
        <v>476</v>
      </c>
      <c r="E8" s="424" t="s">
        <v>476</v>
      </c>
      <c r="F8" s="425" t="s">
        <v>476</v>
      </c>
      <c r="G8" s="431"/>
      <c r="H8" s="425" t="s">
        <v>476</v>
      </c>
      <c r="I8" s="424" t="s">
        <v>488</v>
      </c>
      <c r="J8" s="425" t="s">
        <v>309</v>
      </c>
      <c r="K8" s="431" t="s">
        <v>463</v>
      </c>
      <c r="L8" s="432" t="s">
        <v>464</v>
      </c>
      <c r="M8" s="429" t="s">
        <v>517</v>
      </c>
      <c r="N8" s="433" t="s">
        <v>784</v>
      </c>
      <c r="O8" s="405"/>
      <c r="P8" s="447"/>
      <c r="Q8" s="447"/>
      <c r="R8" s="400"/>
      <c r="S8" s="400"/>
      <c r="T8" s="400"/>
      <c r="U8" s="400"/>
      <c r="V8" s="400"/>
      <c r="W8" s="400"/>
      <c r="X8" s="400"/>
      <c r="Y8" s="400"/>
      <c r="Z8" s="400"/>
      <c r="AA8" s="400"/>
      <c r="AB8" s="400"/>
      <c r="AC8" s="400"/>
      <c r="AD8" s="400"/>
      <c r="AE8" s="400"/>
      <c r="AF8" s="400"/>
      <c r="AG8" s="400"/>
      <c r="AH8" s="400"/>
      <c r="AI8" s="400"/>
      <c r="AJ8" s="400"/>
      <c r="AK8" s="400"/>
    </row>
    <row r="9" spans="1:37" s="404" customFormat="1" x14ac:dyDescent="0.3">
      <c r="A9" s="456" t="str">
        <f>IF(MID($L$1,3,1)="0",CONCATENATE("0",DEC2HEX(HEX2DEC(MID($L$1,3,3))+4)),DEC2HEX(HEX2DEC(MID($L$1,3,3))+4))</f>
        <v>53C</v>
      </c>
      <c r="B9" s="431" t="s">
        <v>462</v>
      </c>
      <c r="C9" s="425" t="s">
        <v>476</v>
      </c>
      <c r="D9" s="425" t="s">
        <v>476</v>
      </c>
      <c r="E9" s="424" t="s">
        <v>476</v>
      </c>
      <c r="F9" s="425" t="s">
        <v>476</v>
      </c>
      <c r="G9" s="431"/>
      <c r="H9" s="425" t="s">
        <v>297</v>
      </c>
      <c r="I9" s="424" t="s">
        <v>315</v>
      </c>
      <c r="J9" s="425" t="s">
        <v>476</v>
      </c>
      <c r="K9" s="431" t="s">
        <v>463</v>
      </c>
      <c r="L9" s="432" t="s">
        <v>464</v>
      </c>
      <c r="M9" s="429" t="s">
        <v>6</v>
      </c>
      <c r="N9" s="433" t="s">
        <v>31</v>
      </c>
      <c r="O9" s="405"/>
      <c r="P9" s="447"/>
      <c r="Q9" s="447"/>
      <c r="R9" s="400"/>
      <c r="S9" s="400"/>
      <c r="T9" s="400"/>
      <c r="U9" s="400"/>
      <c r="V9" s="400"/>
      <c r="W9" s="400"/>
      <c r="X9" s="400"/>
      <c r="Y9" s="400"/>
      <c r="Z9" s="400"/>
      <c r="AA9" s="400"/>
      <c r="AB9" s="400"/>
      <c r="AC9" s="400"/>
      <c r="AD9" s="400"/>
      <c r="AE9" s="400"/>
      <c r="AF9" s="400"/>
      <c r="AG9" s="400"/>
      <c r="AH9" s="400"/>
      <c r="AI9" s="400"/>
      <c r="AJ9" s="400"/>
      <c r="AK9" s="400"/>
    </row>
    <row r="10" spans="1:37" s="404" customFormat="1" x14ac:dyDescent="0.3">
      <c r="A10" s="456" t="str">
        <f>IF(MID($L$1,3,1)="0",CONCATENATE("0",DEC2HEX(HEX2DEC(MID($L$1,3,3))+5)),DEC2HEX(HEX2DEC(MID($L$1,3,3))+5))</f>
        <v>53D</v>
      </c>
      <c r="B10" s="431" t="s">
        <v>462</v>
      </c>
      <c r="C10" s="425" t="s">
        <v>476</v>
      </c>
      <c r="D10" s="425" t="s">
        <v>476</v>
      </c>
      <c r="E10" s="424" t="s">
        <v>476</v>
      </c>
      <c r="F10" s="425" t="s">
        <v>476</v>
      </c>
      <c r="G10" s="431"/>
      <c r="H10" s="425"/>
      <c r="I10" s="424" t="s">
        <v>618</v>
      </c>
      <c r="J10" s="425" t="s">
        <v>316</v>
      </c>
      <c r="K10" s="431" t="s">
        <v>463</v>
      </c>
      <c r="L10" s="432" t="s">
        <v>464</v>
      </c>
      <c r="M10" s="429" t="s">
        <v>492</v>
      </c>
      <c r="N10" s="433" t="s">
        <v>42</v>
      </c>
      <c r="O10" s="405"/>
      <c r="P10" s="447"/>
      <c r="Q10" s="447"/>
      <c r="R10" s="400"/>
      <c r="S10" s="400"/>
      <c r="T10" s="400"/>
      <c r="U10" s="400"/>
      <c r="V10" s="400"/>
      <c r="W10" s="400"/>
      <c r="X10" s="400"/>
      <c r="Y10" s="400"/>
      <c r="Z10" s="400"/>
      <c r="AA10" s="400"/>
      <c r="AB10" s="400"/>
      <c r="AC10" s="400"/>
      <c r="AD10" s="400"/>
      <c r="AE10" s="400"/>
      <c r="AF10" s="400"/>
      <c r="AG10" s="400"/>
      <c r="AH10" s="400"/>
      <c r="AI10" s="400"/>
      <c r="AJ10" s="400"/>
      <c r="AK10" s="400"/>
    </row>
    <row r="11" spans="1:37" s="404" customFormat="1" x14ac:dyDescent="0.3">
      <c r="A11" s="456" t="str">
        <f>IF(MID($L$1,3,1)="0",CONCATENATE("0",DEC2HEX(HEX2DEC(MID($L$1,3,3))+6)),DEC2HEX(HEX2DEC(MID($L$1,3,3))+6))</f>
        <v>53E</v>
      </c>
      <c r="B11" s="431" t="s">
        <v>462</v>
      </c>
      <c r="C11" s="425" t="s">
        <v>476</v>
      </c>
      <c r="D11" s="425" t="s">
        <v>476</v>
      </c>
      <c r="E11" s="424" t="s">
        <v>476</v>
      </c>
      <c r="F11" s="425" t="s">
        <v>476</v>
      </c>
      <c r="G11" s="431"/>
      <c r="H11" s="425" t="s">
        <v>476</v>
      </c>
      <c r="I11" s="424"/>
      <c r="J11" s="425"/>
      <c r="K11" s="431" t="s">
        <v>463</v>
      </c>
      <c r="L11" s="432" t="s">
        <v>464</v>
      </c>
      <c r="M11" s="429" t="s">
        <v>7</v>
      </c>
      <c r="N11" s="433" t="s">
        <v>36</v>
      </c>
      <c r="O11" s="405"/>
      <c r="P11" s="447"/>
      <c r="Q11" s="447"/>
      <c r="R11" s="400"/>
      <c r="S11" s="400"/>
      <c r="T11" s="400"/>
      <c r="U11" s="400"/>
      <c r="V11" s="400"/>
      <c r="W11" s="400"/>
      <c r="X11" s="400"/>
      <c r="Y11" s="400"/>
      <c r="Z11" s="400"/>
      <c r="AA11" s="400"/>
      <c r="AB11" s="400"/>
      <c r="AC11" s="400"/>
      <c r="AD11" s="400"/>
      <c r="AE11" s="400"/>
      <c r="AF11" s="400"/>
      <c r="AG11" s="400"/>
      <c r="AH11" s="400"/>
      <c r="AI11" s="400"/>
      <c r="AJ11" s="400"/>
      <c r="AK11" s="400"/>
    </row>
    <row r="12" spans="1:37" s="404" customFormat="1" ht="15" thickBot="1" x14ac:dyDescent="0.35">
      <c r="A12" s="456" t="str">
        <f>IF(MID($L$1,3,1)="0",CONCATENATE("0",DEC2HEX(HEX2DEC(MID($L$1,3,3))+7)),DEC2HEX(HEX2DEC(MID($L$1,3,3))+7))</f>
        <v>53F</v>
      </c>
      <c r="B12" s="431" t="s">
        <v>462</v>
      </c>
      <c r="C12" s="425" t="s">
        <v>476</v>
      </c>
      <c r="D12" s="425" t="s">
        <v>476</v>
      </c>
      <c r="E12" s="424" t="s">
        <v>476</v>
      </c>
      <c r="F12" s="425" t="s">
        <v>476</v>
      </c>
      <c r="G12" s="431"/>
      <c r="H12" s="425" t="s">
        <v>476</v>
      </c>
      <c r="I12" s="424" t="s">
        <v>476</v>
      </c>
      <c r="J12" s="425" t="s">
        <v>476</v>
      </c>
      <c r="K12" s="431" t="s">
        <v>463</v>
      </c>
      <c r="L12" s="432" t="s">
        <v>464</v>
      </c>
      <c r="M12" s="429" t="s">
        <v>7</v>
      </c>
      <c r="N12" s="434" t="s">
        <v>36</v>
      </c>
      <c r="O12" s="405"/>
      <c r="P12" s="447"/>
      <c r="Q12" s="447"/>
      <c r="R12" s="400"/>
      <c r="S12" s="400"/>
      <c r="T12" s="400"/>
      <c r="U12" s="400"/>
      <c r="V12" s="400"/>
      <c r="W12" s="400"/>
      <c r="X12" s="400"/>
      <c r="Y12" s="400"/>
      <c r="Z12" s="400"/>
      <c r="AA12" s="400"/>
      <c r="AB12" s="400"/>
      <c r="AC12" s="400"/>
      <c r="AD12" s="400"/>
      <c r="AE12" s="400"/>
      <c r="AF12" s="400"/>
      <c r="AG12" s="400"/>
      <c r="AH12" s="400"/>
      <c r="AI12" s="400"/>
      <c r="AJ12" s="400"/>
      <c r="AK12" s="400"/>
    </row>
    <row r="13" spans="1:37" ht="15" thickBot="1" x14ac:dyDescent="0.35">
      <c r="A13" s="407"/>
      <c r="B13" s="441"/>
      <c r="C13" s="442" t="s">
        <v>476</v>
      </c>
      <c r="D13" s="442"/>
      <c r="E13" s="442" t="s">
        <v>476</v>
      </c>
      <c r="F13" s="442" t="s">
        <v>476</v>
      </c>
      <c r="G13" s="441"/>
      <c r="H13" s="442" t="s">
        <v>476</v>
      </c>
      <c r="I13" s="442" t="s">
        <v>476</v>
      </c>
      <c r="J13" s="442" t="s">
        <v>476</v>
      </c>
      <c r="K13" s="441"/>
      <c r="L13" s="441"/>
      <c r="M13" s="443"/>
      <c r="N13" s="444" t="s">
        <v>11</v>
      </c>
      <c r="O13" s="405"/>
      <c r="P13" s="447"/>
      <c r="Q13" s="447"/>
      <c r="R13" s="400"/>
      <c r="S13" s="400"/>
      <c r="T13" s="400"/>
      <c r="U13" s="400"/>
      <c r="V13" s="400"/>
      <c r="W13" s="400"/>
      <c r="X13" s="400"/>
      <c r="Y13" s="400"/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</row>
    <row r="14" spans="1:37" s="404" customFormat="1" x14ac:dyDescent="0.3">
      <c r="A14" s="456" t="str">
        <f>IF(MID($L$1,3,1)="0",CONCATENATE("0",DEC2HEX(HEX2DEC(MID($L$1,3,3))+8)),DEC2HEX(HEX2DEC(MID($L$1,3,3))+8))</f>
        <v>540</v>
      </c>
      <c r="B14" s="427" t="s">
        <v>462</v>
      </c>
      <c r="C14" s="424" t="s">
        <v>476</v>
      </c>
      <c r="D14" s="424" t="s">
        <v>476</v>
      </c>
      <c r="E14" s="424" t="s">
        <v>476</v>
      </c>
      <c r="F14" s="424" t="s">
        <v>476</v>
      </c>
      <c r="G14" s="427"/>
      <c r="H14" s="425" t="s">
        <v>476</v>
      </c>
      <c r="I14" s="424" t="s">
        <v>312</v>
      </c>
      <c r="J14" s="424" t="s">
        <v>309</v>
      </c>
      <c r="K14" s="427" t="s">
        <v>463</v>
      </c>
      <c r="L14" s="428" t="s">
        <v>464</v>
      </c>
      <c r="M14" s="429" t="s">
        <v>490</v>
      </c>
      <c r="N14" s="435" t="s">
        <v>46</v>
      </c>
      <c r="O14" s="405"/>
      <c r="P14" s="447"/>
      <c r="Q14" s="447"/>
      <c r="R14" s="400"/>
      <c r="S14" s="400"/>
      <c r="T14" s="400"/>
      <c r="U14" s="447"/>
      <c r="V14" s="400"/>
      <c r="W14" s="400"/>
      <c r="X14" s="400"/>
      <c r="Y14" s="400"/>
      <c r="Z14" s="400"/>
      <c r="AA14" s="400"/>
      <c r="AB14" s="400"/>
      <c r="AC14" s="400"/>
      <c r="AD14" s="400"/>
      <c r="AE14" s="400"/>
      <c r="AF14" s="400"/>
      <c r="AG14" s="400"/>
      <c r="AH14" s="400"/>
      <c r="AI14" s="400"/>
      <c r="AJ14" s="400"/>
      <c r="AK14" s="400"/>
    </row>
    <row r="15" spans="1:37" s="404" customFormat="1" x14ac:dyDescent="0.3">
      <c r="A15" s="456" t="str">
        <f>IF(MID($L$1,3,1)="0",CONCATENATE("0",DEC2HEX(HEX2DEC(MID($L$1,3,3))+9)),DEC2HEX(HEX2DEC(MID($L$1,3,3))+9))</f>
        <v>541</v>
      </c>
      <c r="B15" s="427" t="s">
        <v>462</v>
      </c>
      <c r="C15" s="425" t="s">
        <v>476</v>
      </c>
      <c r="D15" s="425" t="s">
        <v>476</v>
      </c>
      <c r="E15" s="424" t="s">
        <v>476</v>
      </c>
      <c r="F15" s="425" t="s">
        <v>476</v>
      </c>
      <c r="G15" s="431"/>
      <c r="H15" s="425" t="s">
        <v>476</v>
      </c>
      <c r="I15" s="424" t="s">
        <v>313</v>
      </c>
      <c r="J15" s="425" t="s">
        <v>487</v>
      </c>
      <c r="K15" s="431" t="s">
        <v>463</v>
      </c>
      <c r="L15" s="432" t="s">
        <v>464</v>
      </c>
      <c r="M15" s="429" t="s">
        <v>14</v>
      </c>
      <c r="N15" s="436" t="s">
        <v>785</v>
      </c>
      <c r="O15" s="405"/>
      <c r="P15" s="447"/>
      <c r="Q15" s="447"/>
      <c r="R15" s="400"/>
      <c r="S15" s="400"/>
      <c r="T15" s="400"/>
      <c r="U15" s="400"/>
      <c r="V15" s="400"/>
      <c r="W15" s="400"/>
      <c r="X15" s="400"/>
      <c r="Y15" s="400"/>
      <c r="Z15" s="400"/>
      <c r="AA15" s="400"/>
      <c r="AB15" s="400"/>
      <c r="AC15" s="400"/>
      <c r="AD15" s="400"/>
      <c r="AE15" s="400"/>
      <c r="AF15" s="400"/>
      <c r="AG15" s="400"/>
      <c r="AH15" s="400"/>
      <c r="AI15" s="400"/>
      <c r="AJ15" s="400"/>
      <c r="AK15" s="400"/>
    </row>
    <row r="16" spans="1:37" s="404" customFormat="1" x14ac:dyDescent="0.3">
      <c r="A16" s="456" t="str">
        <f>IF(MID($L$1,3,1)="0",CONCATENATE("0",DEC2HEX(HEX2DEC(MID($L$1,3,3))+10)),DEC2HEX(HEX2DEC(MID($L$1,3,3))+10))</f>
        <v>542</v>
      </c>
      <c r="B16" s="427" t="s">
        <v>462</v>
      </c>
      <c r="C16" s="425" t="s">
        <v>476</v>
      </c>
      <c r="D16" s="425" t="s">
        <v>476</v>
      </c>
      <c r="E16" s="424" t="s">
        <v>476</v>
      </c>
      <c r="F16" s="425" t="s">
        <v>476</v>
      </c>
      <c r="G16" s="431"/>
      <c r="H16" s="425" t="s">
        <v>476</v>
      </c>
      <c r="I16" s="424" t="s">
        <v>488</v>
      </c>
      <c r="J16" s="425" t="s">
        <v>309</v>
      </c>
      <c r="K16" s="431" t="s">
        <v>463</v>
      </c>
      <c r="L16" s="432" t="s">
        <v>464</v>
      </c>
      <c r="M16" s="429" t="s">
        <v>517</v>
      </c>
      <c r="N16" s="436" t="s">
        <v>784</v>
      </c>
      <c r="O16" s="405"/>
      <c r="P16" s="447"/>
      <c r="Q16" s="447"/>
      <c r="R16" s="400"/>
      <c r="S16" s="400"/>
      <c r="T16" s="400"/>
      <c r="U16" s="400"/>
      <c r="V16" s="400"/>
      <c r="W16" s="400"/>
      <c r="X16" s="400"/>
      <c r="Y16" s="400"/>
      <c r="Z16" s="400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</row>
    <row r="17" spans="1:37" s="404" customFormat="1" x14ac:dyDescent="0.3">
      <c r="A17" s="456" t="str">
        <f>IF(MID($L$1,3,1)="0",CONCATENATE("0",DEC2HEX(HEX2DEC(MID($L$1,3,3))+11)),DEC2HEX(HEX2DEC(MID($L$1,3,3))+11))</f>
        <v>543</v>
      </c>
      <c r="B17" s="427" t="s">
        <v>462</v>
      </c>
      <c r="C17" s="425" t="s">
        <v>476</v>
      </c>
      <c r="D17" s="425" t="s">
        <v>476</v>
      </c>
      <c r="E17" s="424" t="s">
        <v>476</v>
      </c>
      <c r="F17" s="425" t="s">
        <v>476</v>
      </c>
      <c r="G17" s="431"/>
      <c r="H17" s="425" t="s">
        <v>297</v>
      </c>
      <c r="I17" s="424" t="s">
        <v>315</v>
      </c>
      <c r="J17" s="425" t="s">
        <v>476</v>
      </c>
      <c r="K17" s="431" t="s">
        <v>463</v>
      </c>
      <c r="L17" s="432" t="s">
        <v>464</v>
      </c>
      <c r="M17" s="429" t="s">
        <v>6</v>
      </c>
      <c r="N17" s="436" t="s">
        <v>31</v>
      </c>
      <c r="O17" s="405"/>
      <c r="P17" s="447"/>
      <c r="Q17" s="447"/>
      <c r="R17" s="400"/>
      <c r="S17" s="400"/>
      <c r="T17" s="400"/>
      <c r="U17" s="400"/>
      <c r="V17" s="400"/>
      <c r="W17" s="400"/>
      <c r="X17" s="400"/>
      <c r="Y17" s="400"/>
      <c r="Z17" s="400"/>
      <c r="AA17" s="400"/>
      <c r="AB17" s="400"/>
      <c r="AC17" s="400"/>
      <c r="AD17" s="400"/>
      <c r="AE17" s="400"/>
      <c r="AF17" s="400"/>
      <c r="AG17" s="400"/>
      <c r="AH17" s="400"/>
      <c r="AI17" s="400"/>
      <c r="AJ17" s="400"/>
      <c r="AK17" s="400"/>
    </row>
    <row r="18" spans="1:37" s="404" customFormat="1" x14ac:dyDescent="0.3">
      <c r="A18" s="456" t="str">
        <f>IF(MID($L$1,3,1)="0",CONCATENATE("0",DEC2HEX(HEX2DEC(MID($L$1,3,3))+12)),DEC2HEX(HEX2DEC(MID($L$1,3,3))+12))</f>
        <v>544</v>
      </c>
      <c r="B18" s="427" t="s">
        <v>462</v>
      </c>
      <c r="C18" s="425" t="s">
        <v>476</v>
      </c>
      <c r="D18" s="425" t="s">
        <v>476</v>
      </c>
      <c r="E18" s="424" t="s">
        <v>476</v>
      </c>
      <c r="F18" s="425" t="s">
        <v>476</v>
      </c>
      <c r="G18" s="431"/>
      <c r="H18" s="425" t="s">
        <v>476</v>
      </c>
      <c r="I18" s="424" t="s">
        <v>618</v>
      </c>
      <c r="J18" s="425" t="s">
        <v>316</v>
      </c>
      <c r="K18" s="431" t="s">
        <v>463</v>
      </c>
      <c r="L18" s="432" t="s">
        <v>464</v>
      </c>
      <c r="M18" s="429" t="s">
        <v>492</v>
      </c>
      <c r="N18" s="436" t="s">
        <v>42</v>
      </c>
      <c r="O18" s="405"/>
      <c r="P18" s="447"/>
      <c r="Q18" s="447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</row>
    <row r="19" spans="1:37" s="404" customFormat="1" x14ac:dyDescent="0.3">
      <c r="A19" s="456" t="str">
        <f>IF(MID($L$1,3,1)="0",CONCATENATE("0",DEC2HEX(HEX2DEC(MID($L$1,3,3))+13)),DEC2HEX(HEX2DEC(MID($L$1,3,3))+13))</f>
        <v>545</v>
      </c>
      <c r="B19" s="427" t="s">
        <v>462</v>
      </c>
      <c r="C19" s="425" t="s">
        <v>476</v>
      </c>
      <c r="D19" s="425" t="s">
        <v>476</v>
      </c>
      <c r="E19" s="424" t="s">
        <v>476</v>
      </c>
      <c r="F19" s="425" t="s">
        <v>476</v>
      </c>
      <c r="G19" s="431"/>
      <c r="H19" s="425" t="s">
        <v>476</v>
      </c>
      <c r="I19" s="424" t="s">
        <v>488</v>
      </c>
      <c r="J19" s="425" t="s">
        <v>314</v>
      </c>
      <c r="K19" s="431" t="s">
        <v>463</v>
      </c>
      <c r="L19" s="432" t="s">
        <v>464</v>
      </c>
      <c r="M19" s="429" t="s">
        <v>625</v>
      </c>
      <c r="N19" s="436" t="s">
        <v>786</v>
      </c>
      <c r="O19" s="405"/>
      <c r="P19" s="447"/>
      <c r="Q19" s="447"/>
      <c r="R19" s="400"/>
      <c r="S19" s="400"/>
      <c r="T19" s="400"/>
      <c r="U19" s="400"/>
      <c r="V19" s="400"/>
      <c r="W19" s="400"/>
      <c r="X19" s="400"/>
      <c r="Y19" s="400"/>
      <c r="Z19" s="400"/>
      <c r="AA19" s="400"/>
      <c r="AB19" s="400"/>
      <c r="AC19" s="400"/>
      <c r="AD19" s="400"/>
      <c r="AE19" s="400"/>
      <c r="AF19" s="400"/>
      <c r="AG19" s="400"/>
      <c r="AH19" s="400"/>
      <c r="AI19" s="400"/>
      <c r="AJ19" s="400"/>
      <c r="AK19" s="400"/>
    </row>
    <row r="20" spans="1:37" s="404" customFormat="1" x14ac:dyDescent="0.3">
      <c r="A20" s="456" t="str">
        <f>IF(MID($L$1,3,1)="0",CONCATENATE("0",DEC2HEX(HEX2DEC(MID($L$1,3,3))+14)),DEC2HEX(HEX2DEC(MID($L$1,3,3))+14))</f>
        <v>546</v>
      </c>
      <c r="B20" s="427" t="s">
        <v>462</v>
      </c>
      <c r="C20" s="425" t="s">
        <v>476</v>
      </c>
      <c r="D20" s="425" t="s">
        <v>476</v>
      </c>
      <c r="E20" s="424" t="s">
        <v>476</v>
      </c>
      <c r="F20" s="425" t="s">
        <v>476</v>
      </c>
      <c r="G20" s="431"/>
      <c r="H20" s="425" t="s">
        <v>476</v>
      </c>
      <c r="I20" s="424" t="s">
        <v>489</v>
      </c>
      <c r="J20" s="425" t="s">
        <v>308</v>
      </c>
      <c r="K20" s="431" t="s">
        <v>463</v>
      </c>
      <c r="L20" s="432" t="s">
        <v>464</v>
      </c>
      <c r="M20" s="429" t="s">
        <v>521</v>
      </c>
      <c r="N20" s="436" t="s">
        <v>787</v>
      </c>
      <c r="O20" s="405"/>
      <c r="P20" s="447"/>
      <c r="Q20" s="447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</row>
    <row r="21" spans="1:37" s="404" customFormat="1" ht="15" thickBot="1" x14ac:dyDescent="0.35">
      <c r="A21" s="456" t="str">
        <f>IF(MID($L$1,3,1)="0",CONCATENATE("0",DEC2HEX(HEX2DEC(MID($L$1,3,3))+15)),DEC2HEX(HEX2DEC(MID($L$1,3,3))+15))</f>
        <v>547</v>
      </c>
      <c r="B21" s="427" t="s">
        <v>462</v>
      </c>
      <c r="C21" s="425" t="s">
        <v>476</v>
      </c>
      <c r="D21" s="425" t="s">
        <v>476</v>
      </c>
      <c r="E21" s="424" t="s">
        <v>476</v>
      </c>
      <c r="F21" s="425" t="s">
        <v>476</v>
      </c>
      <c r="G21" s="431"/>
      <c r="H21" s="425" t="s">
        <v>291</v>
      </c>
      <c r="I21" s="424" t="s">
        <v>315</v>
      </c>
      <c r="J21" s="425" t="s">
        <v>476</v>
      </c>
      <c r="K21" s="431" t="s">
        <v>463</v>
      </c>
      <c r="L21" s="432" t="s">
        <v>464</v>
      </c>
      <c r="M21" s="429" t="s">
        <v>117</v>
      </c>
      <c r="N21" s="437" t="s">
        <v>788</v>
      </c>
      <c r="O21" s="405"/>
      <c r="P21" s="447"/>
      <c r="Q21" s="447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</row>
    <row r="22" spans="1:37" ht="15" thickBot="1" x14ac:dyDescent="0.35">
      <c r="A22" s="407"/>
      <c r="B22" s="441"/>
      <c r="C22" s="442" t="s">
        <v>476</v>
      </c>
      <c r="D22" s="442"/>
      <c r="E22" s="442" t="s">
        <v>476</v>
      </c>
      <c r="F22" s="442" t="s">
        <v>476</v>
      </c>
      <c r="G22" s="441"/>
      <c r="H22" s="442" t="s">
        <v>476</v>
      </c>
      <c r="I22" s="442" t="s">
        <v>476</v>
      </c>
      <c r="J22" s="442" t="s">
        <v>476</v>
      </c>
      <c r="K22" s="441"/>
      <c r="L22" s="441"/>
      <c r="M22" s="443"/>
      <c r="N22" s="444" t="s">
        <v>750</v>
      </c>
      <c r="O22" s="405"/>
      <c r="P22" s="447"/>
      <c r="Q22" s="447"/>
      <c r="R22" s="400"/>
      <c r="S22" s="400"/>
      <c r="T22" s="400"/>
      <c r="U22" s="400"/>
      <c r="V22" s="400"/>
      <c r="W22" s="400"/>
      <c r="X22" s="400"/>
      <c r="Y22" s="400"/>
      <c r="Z22" s="400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</row>
    <row r="23" spans="1:37" s="404" customFormat="1" x14ac:dyDescent="0.3">
      <c r="A23" s="456" t="str">
        <f>IF(MID($L$1,3,1)="0",CONCATENATE("0",DEC2HEX(HEX2DEC(MID($L$1,3,3))+16)),DEC2HEX(HEX2DEC(MID($L$1,3,3))+16))</f>
        <v>548</v>
      </c>
      <c r="B23" s="427" t="s">
        <v>462</v>
      </c>
      <c r="C23" s="424" t="s">
        <v>476</v>
      </c>
      <c r="D23" s="424" t="s">
        <v>476</v>
      </c>
      <c r="E23" s="424" t="s">
        <v>476</v>
      </c>
      <c r="F23" s="424" t="s">
        <v>476</v>
      </c>
      <c r="G23" s="427"/>
      <c r="H23" s="425" t="s">
        <v>476</v>
      </c>
      <c r="I23" s="424" t="s">
        <v>312</v>
      </c>
      <c r="J23" s="424" t="s">
        <v>308</v>
      </c>
      <c r="K23" s="427" t="s">
        <v>463</v>
      </c>
      <c r="L23" s="428" t="s">
        <v>464</v>
      </c>
      <c r="M23" s="429" t="s">
        <v>499</v>
      </c>
      <c r="N23" s="435" t="s">
        <v>162</v>
      </c>
      <c r="O23" s="405"/>
      <c r="P23" s="447"/>
      <c r="Q23" s="447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</row>
    <row r="24" spans="1:37" s="404" customFormat="1" x14ac:dyDescent="0.3">
      <c r="A24" s="456" t="str">
        <f>IF(MID($L$1,3,1)="0",CONCATENATE("0",DEC2HEX(HEX2DEC(MID($L$1,3,3))+17)),DEC2HEX(HEX2DEC(MID($L$1,3,3))+17))</f>
        <v>549</v>
      </c>
      <c r="B24" s="427" t="s">
        <v>462</v>
      </c>
      <c r="C24" s="425" t="s">
        <v>476</v>
      </c>
      <c r="D24" s="425" t="s">
        <v>476</v>
      </c>
      <c r="E24" s="424" t="s">
        <v>476</v>
      </c>
      <c r="F24" s="425" t="s">
        <v>476</v>
      </c>
      <c r="G24" s="431"/>
      <c r="H24" s="425" t="s">
        <v>476</v>
      </c>
      <c r="I24" s="424" t="s">
        <v>313</v>
      </c>
      <c r="J24" s="425" t="s">
        <v>487</v>
      </c>
      <c r="K24" s="431" t="s">
        <v>463</v>
      </c>
      <c r="L24" s="432" t="s">
        <v>464</v>
      </c>
      <c r="M24" s="429" t="s">
        <v>14</v>
      </c>
      <c r="N24" s="436" t="s">
        <v>219</v>
      </c>
      <c r="O24" s="405"/>
      <c r="P24" s="447"/>
      <c r="Q24" s="447"/>
      <c r="R24" s="400"/>
      <c r="S24" s="400"/>
      <c r="T24" s="400"/>
      <c r="U24" s="400"/>
      <c r="V24" s="400"/>
      <c r="W24" s="400"/>
      <c r="X24" s="400"/>
      <c r="Y24" s="400"/>
      <c r="Z24" s="400"/>
      <c r="AA24" s="400"/>
      <c r="AB24" s="400"/>
      <c r="AC24" s="400"/>
      <c r="AD24" s="400"/>
      <c r="AE24" s="400"/>
      <c r="AF24" s="400"/>
      <c r="AG24" s="400"/>
      <c r="AH24" s="400"/>
      <c r="AI24" s="400"/>
      <c r="AJ24" s="400"/>
      <c r="AK24" s="400"/>
    </row>
    <row r="25" spans="1:37" s="404" customFormat="1" x14ac:dyDescent="0.3">
      <c r="A25" s="456" t="str">
        <f>IF(MID($L$1,3,1)="0",CONCATENATE("0",DEC2HEX(HEX2DEC(MID($L$1,3,3))+18)),DEC2HEX(HEX2DEC(MID($L$1,3,3))+18))</f>
        <v>54A</v>
      </c>
      <c r="B25" s="427" t="s">
        <v>462</v>
      </c>
      <c r="C25" s="425" t="s">
        <v>476</v>
      </c>
      <c r="D25" s="425" t="s">
        <v>476</v>
      </c>
      <c r="E25" s="424" t="s">
        <v>476</v>
      </c>
      <c r="F25" s="425" t="s">
        <v>476</v>
      </c>
      <c r="G25" s="431"/>
      <c r="H25" s="425" t="s">
        <v>476</v>
      </c>
      <c r="I25" s="424" t="s">
        <v>310</v>
      </c>
      <c r="J25" s="425" t="s">
        <v>314</v>
      </c>
      <c r="K25" s="431" t="s">
        <v>463</v>
      </c>
      <c r="L25" s="432" t="s">
        <v>464</v>
      </c>
      <c r="M25" s="429" t="s">
        <v>496</v>
      </c>
      <c r="N25" s="436" t="s">
        <v>789</v>
      </c>
      <c r="O25" s="405"/>
      <c r="P25" s="447"/>
      <c r="Q25" s="447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</row>
    <row r="26" spans="1:37" s="404" customFormat="1" x14ac:dyDescent="0.3">
      <c r="A26" s="456" t="str">
        <f>IF(MID($L$1,3,1)="0",CONCATENATE("0",DEC2HEX(HEX2DEC(MID($L$1,3,3))+19)),DEC2HEX(HEX2DEC(MID($L$1,3,3))+19))</f>
        <v>54B</v>
      </c>
      <c r="B26" s="427" t="s">
        <v>462</v>
      </c>
      <c r="C26" s="425" t="s">
        <v>476</v>
      </c>
      <c r="D26" s="425" t="s">
        <v>476</v>
      </c>
      <c r="E26" s="424" t="s">
        <v>476</v>
      </c>
      <c r="F26" s="425" t="s">
        <v>476</v>
      </c>
      <c r="G26" s="431"/>
      <c r="H26" s="425" t="s">
        <v>476</v>
      </c>
      <c r="I26" s="424" t="s">
        <v>476</v>
      </c>
      <c r="J26" s="425" t="s">
        <v>476</v>
      </c>
      <c r="K26" s="431" t="s">
        <v>463</v>
      </c>
      <c r="L26" s="432" t="s">
        <v>464</v>
      </c>
      <c r="M26" s="429" t="s">
        <v>7</v>
      </c>
      <c r="N26" s="436" t="s">
        <v>36</v>
      </c>
      <c r="O26" s="405"/>
      <c r="P26" s="447"/>
      <c r="Q26" s="447"/>
      <c r="R26" s="400"/>
      <c r="S26" s="400"/>
      <c r="T26" s="400"/>
      <c r="U26" s="400"/>
      <c r="V26" s="400"/>
      <c r="W26" s="400"/>
      <c r="X26" s="400"/>
      <c r="Y26" s="400"/>
      <c r="Z26" s="400"/>
      <c r="AA26" s="400"/>
      <c r="AB26" s="400"/>
      <c r="AC26" s="400"/>
      <c r="AD26" s="400"/>
      <c r="AE26" s="400"/>
      <c r="AF26" s="400"/>
      <c r="AG26" s="400"/>
      <c r="AH26" s="400"/>
      <c r="AI26" s="400"/>
      <c r="AJ26" s="400"/>
      <c r="AK26" s="400"/>
    </row>
    <row r="27" spans="1:37" s="404" customFormat="1" x14ac:dyDescent="0.3">
      <c r="A27" s="456" t="str">
        <f>IF(MID($L$1,3,1)="0",CONCATENATE("0",DEC2HEX(HEX2DEC(MID($L$1,3,3))+20)),DEC2HEX(HEX2DEC(MID($L$1,3,3))+20))</f>
        <v>54C</v>
      </c>
      <c r="B27" s="427" t="s">
        <v>462</v>
      </c>
      <c r="C27" s="425" t="s">
        <v>476</v>
      </c>
      <c r="D27" s="425" t="s">
        <v>476</v>
      </c>
      <c r="E27" s="424" t="s">
        <v>476</v>
      </c>
      <c r="F27" s="425" t="s">
        <v>476</v>
      </c>
      <c r="G27" s="431"/>
      <c r="H27" s="425" t="s">
        <v>476</v>
      </c>
      <c r="I27" s="424" t="s">
        <v>476</v>
      </c>
      <c r="J27" s="425" t="s">
        <v>476</v>
      </c>
      <c r="K27" s="431" t="s">
        <v>463</v>
      </c>
      <c r="L27" s="432" t="s">
        <v>464</v>
      </c>
      <c r="M27" s="429" t="s">
        <v>7</v>
      </c>
      <c r="N27" s="436" t="s">
        <v>36</v>
      </c>
      <c r="O27" s="405"/>
      <c r="P27" s="447"/>
      <c r="Q27" s="447"/>
      <c r="R27" s="400"/>
      <c r="S27" s="400"/>
      <c r="T27" s="400"/>
      <c r="U27" s="400"/>
      <c r="V27" s="400"/>
      <c r="W27" s="400"/>
      <c r="X27" s="400"/>
      <c r="Y27" s="400"/>
      <c r="Z27" s="400"/>
      <c r="AA27" s="400"/>
      <c r="AB27" s="400"/>
      <c r="AC27" s="400"/>
      <c r="AD27" s="400"/>
      <c r="AE27" s="400"/>
      <c r="AF27" s="400"/>
      <c r="AG27" s="400"/>
      <c r="AH27" s="400"/>
      <c r="AI27" s="400"/>
      <c r="AJ27" s="400"/>
      <c r="AK27" s="400"/>
    </row>
    <row r="28" spans="1:37" s="404" customFormat="1" x14ac:dyDescent="0.3">
      <c r="A28" s="456" t="str">
        <f>IF(MID($L$1,3,1)="0",CONCATENATE("0",DEC2HEX(HEX2DEC(MID($L$1,3,3))+21)),DEC2HEX(HEX2DEC(MID($L$1,3,3))+21))</f>
        <v>54D</v>
      </c>
      <c r="B28" s="427" t="s">
        <v>462</v>
      </c>
      <c r="C28" s="425" t="s">
        <v>476</v>
      </c>
      <c r="D28" s="425" t="s">
        <v>476</v>
      </c>
      <c r="E28" s="424" t="s">
        <v>476</v>
      </c>
      <c r="F28" s="425" t="s">
        <v>476</v>
      </c>
      <c r="G28" s="431"/>
      <c r="H28" s="425" t="s">
        <v>476</v>
      </c>
      <c r="I28" s="424" t="s">
        <v>476</v>
      </c>
      <c r="J28" s="425" t="s">
        <v>476</v>
      </c>
      <c r="K28" s="431" t="s">
        <v>463</v>
      </c>
      <c r="L28" s="432" t="s">
        <v>464</v>
      </c>
      <c r="M28" s="429" t="s">
        <v>7</v>
      </c>
      <c r="N28" s="436" t="s">
        <v>36</v>
      </c>
      <c r="O28" s="405"/>
      <c r="P28" s="447"/>
      <c r="Q28" s="447"/>
      <c r="R28" s="400"/>
      <c r="S28" s="400"/>
      <c r="T28" s="400"/>
      <c r="U28" s="400"/>
      <c r="V28" s="400"/>
      <c r="W28" s="400"/>
      <c r="X28" s="400"/>
      <c r="Y28" s="400"/>
      <c r="Z28" s="400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</row>
    <row r="29" spans="1:37" s="404" customFormat="1" x14ac:dyDescent="0.3">
      <c r="A29" s="456" t="str">
        <f>IF(MID($L$1,3,1)="0",CONCATENATE("0",DEC2HEX(HEX2DEC(MID($L$1,3,3))+22)),DEC2HEX(HEX2DEC(MID($L$1,3,3))+22))</f>
        <v>54E</v>
      </c>
      <c r="B29" s="427" t="s">
        <v>462</v>
      </c>
      <c r="C29" s="425" t="s">
        <v>476</v>
      </c>
      <c r="D29" s="425" t="s">
        <v>476</v>
      </c>
      <c r="E29" s="424" t="s">
        <v>476</v>
      </c>
      <c r="F29" s="425" t="s">
        <v>476</v>
      </c>
      <c r="G29" s="431"/>
      <c r="H29" s="425" t="s">
        <v>476</v>
      </c>
      <c r="I29" s="424" t="s">
        <v>476</v>
      </c>
      <c r="J29" s="425" t="s">
        <v>476</v>
      </c>
      <c r="K29" s="431" t="s">
        <v>463</v>
      </c>
      <c r="L29" s="432" t="s">
        <v>464</v>
      </c>
      <c r="M29" s="429" t="s">
        <v>7</v>
      </c>
      <c r="N29" s="436" t="s">
        <v>36</v>
      </c>
      <c r="O29" s="405"/>
      <c r="P29" s="447"/>
      <c r="Q29" s="447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</row>
    <row r="30" spans="1:37" s="404" customFormat="1" ht="15" thickBot="1" x14ac:dyDescent="0.35">
      <c r="A30" s="456" t="str">
        <f>IF(MID($L$1,3,1)="0",CONCATENATE("0",DEC2HEX(HEX2DEC(MID($L$1,3,3))+23)),DEC2HEX(HEX2DEC(MID($L$1,3,3))+23))</f>
        <v>54F</v>
      </c>
      <c r="B30" s="427" t="s">
        <v>462</v>
      </c>
      <c r="C30" s="425" t="s">
        <v>476</v>
      </c>
      <c r="D30" s="425" t="s">
        <v>476</v>
      </c>
      <c r="E30" s="424" t="s">
        <v>476</v>
      </c>
      <c r="F30" s="425" t="s">
        <v>476</v>
      </c>
      <c r="G30" s="431"/>
      <c r="H30" s="425" t="s">
        <v>476</v>
      </c>
      <c r="I30" s="424" t="s">
        <v>476</v>
      </c>
      <c r="J30" s="425" t="s">
        <v>476</v>
      </c>
      <c r="K30" s="431" t="s">
        <v>463</v>
      </c>
      <c r="L30" s="432" t="s">
        <v>464</v>
      </c>
      <c r="M30" s="429" t="s">
        <v>7</v>
      </c>
      <c r="N30" s="437" t="s">
        <v>36</v>
      </c>
      <c r="O30" s="405"/>
      <c r="P30" s="447"/>
      <c r="Q30" s="447"/>
      <c r="R30" s="400"/>
      <c r="S30" s="400"/>
      <c r="T30" s="400"/>
      <c r="U30" s="400"/>
      <c r="V30" s="400"/>
      <c r="W30" s="400"/>
      <c r="X30" s="400"/>
      <c r="Y30" s="400"/>
      <c r="Z30" s="400"/>
      <c r="AA30" s="400"/>
      <c r="AB30" s="400"/>
      <c r="AC30" s="400"/>
      <c r="AD30" s="400"/>
      <c r="AE30" s="400"/>
      <c r="AF30" s="400"/>
      <c r="AG30" s="400"/>
      <c r="AH30" s="400"/>
      <c r="AI30" s="400"/>
      <c r="AJ30" s="400"/>
      <c r="AK30" s="400"/>
    </row>
    <row r="31" spans="1:37" ht="15" thickBot="1" x14ac:dyDescent="0.35">
      <c r="A31" s="407"/>
      <c r="B31" s="441"/>
      <c r="C31" s="442" t="s">
        <v>476</v>
      </c>
      <c r="D31" s="442"/>
      <c r="E31" s="442" t="s">
        <v>476</v>
      </c>
      <c r="F31" s="442" t="s">
        <v>476</v>
      </c>
      <c r="G31" s="441"/>
      <c r="H31" s="442" t="s">
        <v>476</v>
      </c>
      <c r="I31" s="442" t="s">
        <v>476</v>
      </c>
      <c r="J31" s="442" t="s">
        <v>476</v>
      </c>
      <c r="K31" s="441"/>
      <c r="L31" s="441"/>
      <c r="M31" s="443"/>
      <c r="N31" s="444" t="s">
        <v>751</v>
      </c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</row>
    <row r="32" spans="1:37" x14ac:dyDescent="0.3">
      <c r="A32" s="456" t="str">
        <f>IF(MID($L$1,3,1)="0",CONCATENATE("0",DEC2HEX(HEX2DEC(MID($L$1,3,3))+24)),DEC2HEX(HEX2DEC(MID($L$1,3,3))+24))</f>
        <v>550</v>
      </c>
      <c r="B32" s="427" t="s">
        <v>462</v>
      </c>
      <c r="C32" s="424" t="s">
        <v>476</v>
      </c>
      <c r="D32" s="424" t="s">
        <v>476</v>
      </c>
      <c r="E32" s="424" t="s">
        <v>476</v>
      </c>
      <c r="F32" s="424" t="s">
        <v>476</v>
      </c>
      <c r="G32" s="427"/>
      <c r="H32" s="425" t="s">
        <v>476</v>
      </c>
      <c r="I32" s="424" t="s">
        <v>312</v>
      </c>
      <c r="J32" s="424" t="s">
        <v>316</v>
      </c>
      <c r="K32" s="427" t="s">
        <v>463</v>
      </c>
      <c r="L32" s="428" t="s">
        <v>464</v>
      </c>
      <c r="M32" s="429" t="s">
        <v>705</v>
      </c>
      <c r="N32" s="435" t="s">
        <v>790</v>
      </c>
      <c r="U32" s="400"/>
      <c r="V32" s="400"/>
      <c r="W32" s="400"/>
      <c r="X32" s="400"/>
      <c r="Y32" s="400"/>
      <c r="Z32" s="400"/>
      <c r="AA32" s="400"/>
      <c r="AB32" s="400"/>
      <c r="AC32" s="400"/>
      <c r="AD32" s="400"/>
      <c r="AE32" s="400"/>
      <c r="AF32" s="400"/>
      <c r="AG32" s="400"/>
      <c r="AH32" s="400"/>
      <c r="AI32" s="400"/>
      <c r="AJ32" s="400"/>
      <c r="AK32" s="400"/>
    </row>
    <row r="33" spans="1:37" x14ac:dyDescent="0.3">
      <c r="A33" s="456" t="str">
        <f>IF(MID($L$1,3,1)="0",CONCATENATE("0",DEC2HEX(HEX2DEC(MID($L$1,3,3))+25)),DEC2HEX(HEX2DEC(MID($L$1,3,3))+25))</f>
        <v>551</v>
      </c>
      <c r="B33" s="427" t="s">
        <v>462</v>
      </c>
      <c r="C33" s="425" t="s">
        <v>476</v>
      </c>
      <c r="D33" s="425" t="s">
        <v>476</v>
      </c>
      <c r="E33" s="424" t="s">
        <v>476</v>
      </c>
      <c r="F33" s="425" t="s">
        <v>476</v>
      </c>
      <c r="G33" s="431"/>
      <c r="H33" s="425" t="s">
        <v>476</v>
      </c>
      <c r="I33" s="424" t="s">
        <v>313</v>
      </c>
      <c r="J33" s="425" t="s">
        <v>311</v>
      </c>
      <c r="K33" s="431" t="s">
        <v>478</v>
      </c>
      <c r="L33" s="432" t="s">
        <v>464</v>
      </c>
      <c r="M33" s="429" t="s">
        <v>510</v>
      </c>
      <c r="N33" s="436" t="s">
        <v>791</v>
      </c>
      <c r="U33" s="400"/>
      <c r="V33" s="400"/>
      <c r="W33" s="400"/>
      <c r="X33" s="400"/>
      <c r="Y33" s="400"/>
      <c r="Z33" s="400"/>
      <c r="AA33" s="400"/>
      <c r="AB33" s="400"/>
      <c r="AC33" s="400"/>
      <c r="AD33" s="400"/>
      <c r="AE33" s="400"/>
      <c r="AF33" s="400"/>
      <c r="AG33" s="400"/>
      <c r="AH33" s="400"/>
      <c r="AI33" s="400"/>
      <c r="AJ33" s="400"/>
      <c r="AK33" s="400"/>
    </row>
    <row r="34" spans="1:37" x14ac:dyDescent="0.3">
      <c r="A34" s="456" t="str">
        <f>IF(MID($L$1,3,1)="0",CONCATENATE("0",DEC2HEX(HEX2DEC(MID($L$1,3,3))+26)),DEC2HEX(HEX2DEC(MID($L$1,3,3))+26))</f>
        <v>552</v>
      </c>
      <c r="B34" s="427" t="s">
        <v>462</v>
      </c>
      <c r="C34" s="425" t="s">
        <v>476</v>
      </c>
      <c r="D34" s="425" t="s">
        <v>476</v>
      </c>
      <c r="E34" s="424" t="s">
        <v>476</v>
      </c>
      <c r="F34" s="425" t="s">
        <v>476</v>
      </c>
      <c r="G34" s="431"/>
      <c r="H34" s="425" t="s">
        <v>476</v>
      </c>
      <c r="I34" s="424" t="s">
        <v>488</v>
      </c>
      <c r="J34" s="425" t="s">
        <v>308</v>
      </c>
      <c r="K34" s="431" t="s">
        <v>478</v>
      </c>
      <c r="L34" s="432" t="s">
        <v>464</v>
      </c>
      <c r="M34" s="429" t="s">
        <v>519</v>
      </c>
      <c r="N34" s="436"/>
      <c r="U34" s="400"/>
      <c r="V34" s="400"/>
      <c r="W34" s="400"/>
      <c r="X34" s="400"/>
      <c r="Y34" s="400"/>
      <c r="Z34" s="400"/>
      <c r="AA34" s="400"/>
      <c r="AB34" s="400"/>
      <c r="AC34" s="400"/>
      <c r="AD34" s="400"/>
      <c r="AE34" s="400"/>
      <c r="AF34" s="400"/>
      <c r="AG34" s="400"/>
      <c r="AH34" s="400"/>
      <c r="AI34" s="400"/>
      <c r="AJ34" s="400"/>
      <c r="AK34" s="400"/>
    </row>
    <row r="35" spans="1:37" x14ac:dyDescent="0.3">
      <c r="A35" s="456" t="str">
        <f>IF(MID($L$1,3,1)="0",CONCATENATE("0",DEC2HEX(HEX2DEC(MID($L$1,3,3))+27)),DEC2HEX(HEX2DEC(MID($L$1,3,3))+27))</f>
        <v>553</v>
      </c>
      <c r="B35" s="427" t="s">
        <v>462</v>
      </c>
      <c r="C35" s="425" t="s">
        <v>476</v>
      </c>
      <c r="D35" s="425" t="s">
        <v>476</v>
      </c>
      <c r="E35" s="424" t="s">
        <v>476</v>
      </c>
      <c r="F35" s="425" t="s">
        <v>476</v>
      </c>
      <c r="G35" s="431"/>
      <c r="H35" s="425" t="s">
        <v>297</v>
      </c>
      <c r="I35" s="424" t="s">
        <v>315</v>
      </c>
      <c r="J35" s="425" t="s">
        <v>476</v>
      </c>
      <c r="K35" s="431" t="s">
        <v>478</v>
      </c>
      <c r="L35" s="432" t="s">
        <v>464</v>
      </c>
      <c r="M35" s="429" t="s">
        <v>6</v>
      </c>
      <c r="N35" s="436" t="s">
        <v>792</v>
      </c>
      <c r="U35" s="400"/>
      <c r="V35" s="400"/>
      <c r="W35" s="400"/>
      <c r="X35" s="400"/>
      <c r="Y35" s="400"/>
      <c r="Z35" s="400"/>
      <c r="AA35" s="400"/>
      <c r="AB35" s="400"/>
      <c r="AC35" s="400"/>
      <c r="AD35" s="400"/>
      <c r="AE35" s="400"/>
      <c r="AF35" s="400"/>
      <c r="AG35" s="400"/>
      <c r="AH35" s="400"/>
      <c r="AI35" s="400"/>
      <c r="AJ35" s="400"/>
      <c r="AK35" s="400"/>
    </row>
    <row r="36" spans="1:37" x14ac:dyDescent="0.3">
      <c r="A36" s="456" t="str">
        <f>IF(MID($L$1,3,1)="0",CONCATENATE("0",DEC2HEX(HEX2DEC(MID($L$1,3,3))+28)),DEC2HEX(HEX2DEC(MID($L$1,3,3))+28))</f>
        <v>554</v>
      </c>
      <c r="B36" s="427" t="s">
        <v>462</v>
      </c>
      <c r="C36" s="425" t="s">
        <v>476</v>
      </c>
      <c r="D36" s="425" t="s">
        <v>476</v>
      </c>
      <c r="E36" s="424" t="s">
        <v>476</v>
      </c>
      <c r="F36" s="425" t="s">
        <v>476</v>
      </c>
      <c r="G36" s="431"/>
      <c r="H36" s="425" t="s">
        <v>476</v>
      </c>
      <c r="I36" s="424" t="s">
        <v>307</v>
      </c>
      <c r="J36" s="425" t="s">
        <v>316</v>
      </c>
      <c r="K36" s="431" t="s">
        <v>478</v>
      </c>
      <c r="L36" s="432" t="s">
        <v>464</v>
      </c>
      <c r="M36" s="429" t="s">
        <v>495</v>
      </c>
      <c r="N36" s="436" t="s">
        <v>793</v>
      </c>
      <c r="U36" s="400"/>
      <c r="V36" s="400"/>
      <c r="W36" s="400"/>
      <c r="X36" s="400"/>
      <c r="Y36" s="400"/>
      <c r="Z36" s="400"/>
      <c r="AA36" s="400"/>
      <c r="AB36" s="400"/>
      <c r="AC36" s="400"/>
      <c r="AD36" s="400"/>
      <c r="AE36" s="400"/>
      <c r="AF36" s="400"/>
      <c r="AG36" s="400"/>
      <c r="AH36" s="400"/>
      <c r="AI36" s="400"/>
      <c r="AJ36" s="400"/>
      <c r="AK36" s="400"/>
    </row>
    <row r="37" spans="1:37" x14ac:dyDescent="0.3">
      <c r="A37" s="456" t="str">
        <f>IF(MID($L$1,3,1)="0",CONCATENATE("0",DEC2HEX(HEX2DEC(MID($L$1,3,3))+29)),DEC2HEX(HEX2DEC(MID($L$1,3,3))+29))</f>
        <v>555</v>
      </c>
      <c r="B37" s="427" t="s">
        <v>462</v>
      </c>
      <c r="C37" s="425" t="s">
        <v>476</v>
      </c>
      <c r="D37" s="425" t="s">
        <v>476</v>
      </c>
      <c r="E37" s="424" t="s">
        <v>476</v>
      </c>
      <c r="F37" s="425" t="s">
        <v>476</v>
      </c>
      <c r="G37" s="431"/>
      <c r="H37" s="425" t="s">
        <v>476</v>
      </c>
      <c r="I37" s="424" t="s">
        <v>476</v>
      </c>
      <c r="J37" s="425" t="s">
        <v>476</v>
      </c>
      <c r="K37" s="431" t="s">
        <v>478</v>
      </c>
      <c r="L37" s="432" t="s">
        <v>464</v>
      </c>
      <c r="M37" s="429" t="s">
        <v>7</v>
      </c>
      <c r="N37" s="436" t="s">
        <v>36</v>
      </c>
      <c r="U37" s="400"/>
      <c r="V37" s="400"/>
      <c r="W37" s="400"/>
      <c r="X37" s="400"/>
      <c r="Y37" s="400"/>
      <c r="Z37" s="400"/>
      <c r="AA37" s="400"/>
      <c r="AB37" s="400"/>
      <c r="AC37" s="400"/>
      <c r="AD37" s="400"/>
      <c r="AE37" s="400"/>
      <c r="AF37" s="400"/>
      <c r="AG37" s="400"/>
      <c r="AH37" s="400"/>
      <c r="AI37" s="400"/>
      <c r="AJ37" s="400"/>
      <c r="AK37" s="400"/>
    </row>
    <row r="38" spans="1:37" x14ac:dyDescent="0.3">
      <c r="A38" s="456" t="str">
        <f>IF(MID($L$1,3,1)="0",CONCATENATE("0",DEC2HEX(HEX2DEC(MID($L$1,3,3))+30)),DEC2HEX(HEX2DEC(MID($L$1,3,3))+30))</f>
        <v>556</v>
      </c>
      <c r="B38" s="427" t="s">
        <v>462</v>
      </c>
      <c r="C38" s="425" t="s">
        <v>476</v>
      </c>
      <c r="D38" s="425" t="s">
        <v>476</v>
      </c>
      <c r="E38" s="424" t="s">
        <v>476</v>
      </c>
      <c r="F38" s="425" t="s">
        <v>476</v>
      </c>
      <c r="G38" s="431"/>
      <c r="H38" s="425" t="s">
        <v>476</v>
      </c>
      <c r="I38" s="424" t="s">
        <v>476</v>
      </c>
      <c r="J38" s="425" t="s">
        <v>476</v>
      </c>
      <c r="K38" s="431" t="s">
        <v>463</v>
      </c>
      <c r="L38" s="432" t="s">
        <v>464</v>
      </c>
      <c r="M38" s="429" t="s">
        <v>7</v>
      </c>
      <c r="N38" s="436" t="s">
        <v>36</v>
      </c>
      <c r="U38" s="400"/>
      <c r="V38" s="400"/>
      <c r="W38" s="400"/>
      <c r="X38" s="400"/>
      <c r="Y38" s="400"/>
      <c r="Z38" s="400"/>
      <c r="AA38" s="400"/>
      <c r="AB38" s="400"/>
      <c r="AC38" s="400"/>
      <c r="AD38" s="400"/>
      <c r="AE38" s="400"/>
      <c r="AF38" s="400"/>
      <c r="AG38" s="400"/>
      <c r="AH38" s="400"/>
      <c r="AI38" s="400"/>
      <c r="AJ38" s="400"/>
      <c r="AK38" s="400"/>
    </row>
    <row r="39" spans="1:37" ht="15" thickBot="1" x14ac:dyDescent="0.35">
      <c r="A39" s="457" t="str">
        <f>IF(MID($L$1,3,1)="0",CONCATENATE("0",DEC2HEX(HEX2DEC(MID($L$1,3,3))+31)),DEC2HEX(HEX2DEC(MID($L$1,3,3))+31))</f>
        <v>557</v>
      </c>
      <c r="B39" s="438" t="s">
        <v>35</v>
      </c>
      <c r="C39" s="426" t="s">
        <v>476</v>
      </c>
      <c r="D39" s="426" t="s">
        <v>476</v>
      </c>
      <c r="E39" s="426" t="s">
        <v>476</v>
      </c>
      <c r="F39" s="426" t="s">
        <v>476</v>
      </c>
      <c r="G39" s="438"/>
      <c r="H39" s="426" t="s">
        <v>476</v>
      </c>
      <c r="I39" s="426" t="s">
        <v>476</v>
      </c>
      <c r="J39" s="426" t="s">
        <v>476</v>
      </c>
      <c r="K39" s="438" t="s">
        <v>463</v>
      </c>
      <c r="L39" s="439" t="s">
        <v>464</v>
      </c>
      <c r="M39" s="445" t="s">
        <v>794</v>
      </c>
      <c r="N39" s="440" t="s">
        <v>40</v>
      </c>
      <c r="U39" s="400"/>
      <c r="V39" s="400"/>
      <c r="W39" s="400"/>
      <c r="X39" s="400"/>
      <c r="Y39" s="400"/>
      <c r="Z39" s="400"/>
      <c r="AA39" s="400"/>
      <c r="AB39" s="400"/>
      <c r="AC39" s="400"/>
      <c r="AD39" s="400"/>
      <c r="AE39" s="400"/>
      <c r="AF39" s="400"/>
      <c r="AG39" s="400"/>
      <c r="AH39" s="400"/>
      <c r="AI39" s="400"/>
      <c r="AJ39" s="400"/>
      <c r="AK39" s="400"/>
    </row>
    <row r="40" spans="1:37" ht="15" thickTop="1" x14ac:dyDescent="0.3">
      <c r="A40" s="402"/>
      <c r="B40" s="402"/>
      <c r="C40" s="402"/>
      <c r="D40" s="402"/>
      <c r="E40" s="402"/>
      <c r="F40" s="402"/>
      <c r="G40" s="402"/>
      <c r="H40" s="402"/>
      <c r="I40" s="402"/>
      <c r="J40" s="402"/>
      <c r="K40" s="402"/>
      <c r="L40" s="402"/>
      <c r="U40" s="400"/>
      <c r="V40" s="400"/>
      <c r="W40" s="400"/>
      <c r="X40" s="400"/>
      <c r="Y40" s="400"/>
      <c r="Z40" s="400"/>
      <c r="AA40" s="400"/>
      <c r="AB40" s="400"/>
      <c r="AC40" s="400"/>
      <c r="AD40" s="400"/>
      <c r="AE40" s="400"/>
      <c r="AF40" s="400"/>
      <c r="AG40" s="400"/>
      <c r="AH40" s="400"/>
      <c r="AI40" s="400"/>
      <c r="AJ40" s="400"/>
      <c r="AK40" s="400"/>
    </row>
    <row r="41" spans="1:37" x14ac:dyDescent="0.3">
      <c r="U41" s="400"/>
      <c r="V41" s="400"/>
      <c r="W41" s="400"/>
      <c r="X41" s="400"/>
      <c r="Y41" s="400"/>
      <c r="Z41" s="400"/>
      <c r="AA41" s="400"/>
      <c r="AB41" s="400"/>
      <c r="AC41" s="400"/>
      <c r="AD41" s="400"/>
      <c r="AE41" s="400"/>
      <c r="AF41" s="400"/>
      <c r="AG41" s="400"/>
      <c r="AH41" s="400"/>
      <c r="AI41" s="400"/>
      <c r="AJ41" s="400"/>
      <c r="AK41" s="400"/>
    </row>
    <row r="42" spans="1:37" x14ac:dyDescent="0.3">
      <c r="U42" s="400"/>
      <c r="V42" s="400"/>
      <c r="W42" s="400"/>
      <c r="X42" s="400"/>
      <c r="Y42" s="400"/>
      <c r="Z42" s="400"/>
      <c r="AA42" s="400"/>
      <c r="AB42" s="400"/>
      <c r="AC42" s="400"/>
      <c r="AD42" s="400"/>
      <c r="AE42" s="400"/>
      <c r="AF42" s="400"/>
      <c r="AG42" s="400"/>
      <c r="AH42" s="400"/>
      <c r="AI42" s="400"/>
      <c r="AJ42" s="400"/>
      <c r="AK42" s="400"/>
    </row>
    <row r="43" spans="1:37" x14ac:dyDescent="0.3">
      <c r="U43" s="400"/>
      <c r="V43" s="400"/>
      <c r="W43" s="400"/>
      <c r="X43" s="400"/>
      <c r="Y43" s="400"/>
      <c r="Z43" s="400"/>
      <c r="AA43" s="400"/>
      <c r="AB43" s="400"/>
      <c r="AC43" s="400"/>
      <c r="AD43" s="400"/>
      <c r="AE43" s="400"/>
      <c r="AF43" s="400"/>
      <c r="AG43" s="400"/>
      <c r="AH43" s="400"/>
      <c r="AI43" s="400"/>
      <c r="AJ43" s="400"/>
      <c r="AK43" s="400"/>
    </row>
    <row r="44" spans="1:37" x14ac:dyDescent="0.3">
      <c r="U44" s="400"/>
      <c r="V44" s="400"/>
      <c r="W44" s="400"/>
      <c r="X44" s="400"/>
      <c r="Y44" s="400"/>
      <c r="Z44" s="400"/>
      <c r="AA44" s="400"/>
      <c r="AB44" s="400"/>
      <c r="AC44" s="400"/>
      <c r="AD44" s="400"/>
      <c r="AE44" s="400"/>
      <c r="AF44" s="400"/>
      <c r="AG44" s="400"/>
      <c r="AH44" s="400"/>
      <c r="AI44" s="400"/>
      <c r="AJ44" s="400"/>
      <c r="AK44" s="400"/>
    </row>
    <row r="45" spans="1:37" x14ac:dyDescent="0.3">
      <c r="U45" s="400"/>
      <c r="V45" s="400"/>
      <c r="W45" s="400"/>
      <c r="X45" s="400"/>
      <c r="Y45" s="400"/>
      <c r="Z45" s="400"/>
      <c r="AA45" s="400"/>
      <c r="AB45" s="400"/>
      <c r="AC45" s="400"/>
      <c r="AD45" s="400"/>
      <c r="AE45" s="400"/>
      <c r="AF45" s="400"/>
      <c r="AG45" s="400"/>
      <c r="AH45" s="400"/>
      <c r="AI45" s="400"/>
      <c r="AJ45" s="400"/>
      <c r="AK45" s="400"/>
    </row>
    <row r="46" spans="1:37" x14ac:dyDescent="0.3">
      <c r="U46" s="400"/>
      <c r="V46" s="400"/>
      <c r="W46" s="400"/>
      <c r="X46" s="400"/>
      <c r="Y46" s="400"/>
      <c r="Z46" s="400"/>
      <c r="AA46" s="400"/>
      <c r="AB46" s="400"/>
      <c r="AC46" s="400"/>
      <c r="AD46" s="400"/>
      <c r="AE46" s="400"/>
      <c r="AF46" s="400"/>
      <c r="AG46" s="400"/>
      <c r="AH46" s="400"/>
      <c r="AI46" s="400"/>
      <c r="AJ46" s="400"/>
      <c r="AK46" s="400"/>
    </row>
    <row r="47" spans="1:37" x14ac:dyDescent="0.3">
      <c r="U47" s="400"/>
      <c r="V47" s="400"/>
      <c r="W47" s="400"/>
      <c r="X47" s="400"/>
      <c r="Y47" s="400"/>
      <c r="Z47" s="400"/>
      <c r="AA47" s="400"/>
      <c r="AB47" s="400"/>
      <c r="AC47" s="400"/>
      <c r="AD47" s="400"/>
      <c r="AE47" s="400"/>
      <c r="AF47" s="400"/>
      <c r="AG47" s="400"/>
      <c r="AH47" s="400"/>
      <c r="AI47" s="400"/>
      <c r="AJ47" s="400"/>
      <c r="AK47" s="400"/>
    </row>
  </sheetData>
  <dataValidations count="12">
    <dataValidation type="list" allowBlank="1" showInputMessage="1" showErrorMessage="1" sqref="I23:I30 I5:I12 I14:I21 I32:I39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 E14:E21 E23:E30 E32:E39">
      <formula1>3</formula1>
      <formula2>3</formula2>
    </dataValidation>
    <dataValidation type="list" showErrorMessage="1" errorTitle="Next MIP Address" error="Empty field not allowed" sqref="B5 B14:B21 B23:B29 B32:B38">
      <formula1>"Next,Decode,Fetch"</formula1>
    </dataValidation>
    <dataValidation type="list" showInputMessage="1" showErrorMessage="1" sqref="K5:K12 K14:K21 K23:K30 K32:K39">
      <formula1>"R,W"</formula1>
    </dataValidation>
    <dataValidation type="list" showInputMessage="1" showErrorMessage="1" sqref="L5:L12 L14:L21 L23:L30 L32:L39">
      <formula1>"IO,MEM"</formula1>
    </dataValidation>
    <dataValidation type="list" allowBlank="1" showInputMessage="1" showErrorMessage="1" sqref="J5:J12 J14:J21 J23:J30 J32:J39">
      <formula1>"from DATA,from IP,from MAR,from MBR,from MDR,from RES,from [SEL],from SR"</formula1>
    </dataValidation>
    <dataValidation type="list" allowBlank="1" showInputMessage="1" showErrorMessage="1" sqref="H14:H21 H5:H12 H23:H30 H32:H39">
      <formula1>"ADD,AND,DEC,DIV,INC,MOD,MUL,NOT,OR,ROL,ROR,SHL,SHR,SUB,XOR"</formula1>
    </dataValidation>
    <dataValidation type="list" allowBlank="1" showInputMessage="1" showErrorMessage="1" sqref="C5:C12 C14:C21 C23:C30 C32:C39">
      <formula1>"Clear"</formula1>
    </dataValidation>
    <dataValidation type="list" allowBlank="1" showInputMessage="1" showErrorMessage="1" sqref="F5:F12 F14:F21 F23:F30 F32:F39">
      <formula1>"Affect"</formula1>
    </dataValidation>
    <dataValidation type="list" allowBlank="1" showInputMessage="1" showErrorMessage="1" sqref="G5:G12 G14:G21 G23:G30 G32:G39">
      <formula1>"S,O,Z,NS,NO,NZ"</formula1>
    </dataValidation>
    <dataValidation type="list" showInputMessage="1" showErrorMessage="1" sqref="D5:D12 D14:D21 D23:D30 D32:D39">
      <formula1>"Enable"</formula1>
    </dataValidation>
    <dataValidation type="list" allowBlank="1" showInputMessage="1" showErrorMessage="1" sqref="B6:B12 B30 B39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229</v>
      </c>
      <c r="B1" s="95"/>
      <c r="C1" s="96"/>
      <c r="D1" s="95"/>
      <c r="E1" s="97" t="s">
        <v>29</v>
      </c>
      <c r="F1" s="96"/>
      <c r="G1" s="96" t="str">
        <f>'Decoder Table'!A16</f>
        <v>0xA5</v>
      </c>
      <c r="H1" s="96"/>
      <c r="I1" s="97" t="s">
        <v>471</v>
      </c>
      <c r="J1" s="96"/>
      <c r="K1" s="96"/>
      <c r="L1" s="96" t="str">
        <f>CONCATENATE("0x",'Decoder Table'!B16)</f>
        <v>0x0D8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0D8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0D9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0DA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0DB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0DC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0DD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0DE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0DF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0E0</v>
      </c>
      <c r="B14" s="201" t="s">
        <v>462</v>
      </c>
      <c r="C14" s="198" t="s">
        <v>476</v>
      </c>
      <c r="D14" s="198" t="s">
        <v>476</v>
      </c>
      <c r="E14" s="198" t="s">
        <v>476</v>
      </c>
      <c r="F14" s="198" t="s">
        <v>476</v>
      </c>
      <c r="G14" s="201"/>
      <c r="H14" s="199" t="s">
        <v>476</v>
      </c>
      <c r="I14" s="198" t="s">
        <v>306</v>
      </c>
      <c r="J14" s="198" t="s">
        <v>314</v>
      </c>
      <c r="K14" s="201" t="s">
        <v>463</v>
      </c>
      <c r="L14" s="202" t="s">
        <v>464</v>
      </c>
      <c r="M14" s="203" t="s">
        <v>494</v>
      </c>
      <c r="N14" s="20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0E1</v>
      </c>
      <c r="B15" s="201" t="s">
        <v>462</v>
      </c>
      <c r="C15" s="199" t="s">
        <v>476</v>
      </c>
      <c r="D15" s="199" t="s">
        <v>476</v>
      </c>
      <c r="E15" s="198" t="s">
        <v>476</v>
      </c>
      <c r="F15" s="199" t="s">
        <v>476</v>
      </c>
      <c r="G15" s="204"/>
      <c r="H15" s="199" t="s">
        <v>476</v>
      </c>
      <c r="I15" s="198" t="s">
        <v>488</v>
      </c>
      <c r="J15" s="199" t="s">
        <v>308</v>
      </c>
      <c r="K15" s="204" t="s">
        <v>463</v>
      </c>
      <c r="L15" s="205" t="s">
        <v>464</v>
      </c>
      <c r="M15" s="203" t="s">
        <v>519</v>
      </c>
      <c r="N15" s="207" t="s">
        <v>520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0E2</v>
      </c>
      <c r="B16" s="201" t="s">
        <v>462</v>
      </c>
      <c r="C16" s="199" t="s">
        <v>476</v>
      </c>
      <c r="D16" s="199" t="s">
        <v>476</v>
      </c>
      <c r="E16" s="198" t="s">
        <v>476</v>
      </c>
      <c r="F16" s="199" t="s">
        <v>479</v>
      </c>
      <c r="G16" s="204"/>
      <c r="H16" s="199" t="s">
        <v>296</v>
      </c>
      <c r="I16" s="198" t="s">
        <v>315</v>
      </c>
      <c r="J16" s="199" t="s">
        <v>476</v>
      </c>
      <c r="K16" s="204" t="s">
        <v>463</v>
      </c>
      <c r="L16" s="205" t="s">
        <v>464</v>
      </c>
      <c r="M16" s="203" t="s">
        <v>15</v>
      </c>
      <c r="N16" s="207" t="s">
        <v>100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0E3</v>
      </c>
      <c r="B17" s="201" t="s">
        <v>462</v>
      </c>
      <c r="C17" s="199" t="s">
        <v>476</v>
      </c>
      <c r="D17" s="199" t="s">
        <v>476</v>
      </c>
      <c r="E17" s="198" t="s">
        <v>476</v>
      </c>
      <c r="F17" s="199" t="s">
        <v>476</v>
      </c>
      <c r="G17" s="204"/>
      <c r="H17" s="199" t="s">
        <v>476</v>
      </c>
      <c r="I17" s="198" t="s">
        <v>307</v>
      </c>
      <c r="J17" s="199" t="s">
        <v>316</v>
      </c>
      <c r="K17" s="204" t="s">
        <v>463</v>
      </c>
      <c r="L17" s="205" t="s">
        <v>464</v>
      </c>
      <c r="M17" s="203" t="s">
        <v>495</v>
      </c>
      <c r="N17" s="20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0E4</v>
      </c>
      <c r="B18" s="201" t="s">
        <v>462</v>
      </c>
      <c r="C18" s="199" t="s">
        <v>476</v>
      </c>
      <c r="D18" s="199" t="s">
        <v>476</v>
      </c>
      <c r="E18" s="198" t="s">
        <v>476</v>
      </c>
      <c r="F18" s="199" t="s">
        <v>476</v>
      </c>
      <c r="G18" s="204"/>
      <c r="H18" s="199" t="s">
        <v>476</v>
      </c>
      <c r="I18" s="198" t="s">
        <v>476</v>
      </c>
      <c r="J18" s="199" t="s">
        <v>476</v>
      </c>
      <c r="K18" s="204" t="s">
        <v>463</v>
      </c>
      <c r="L18" s="205" t="s">
        <v>464</v>
      </c>
      <c r="M18" s="203" t="s">
        <v>7</v>
      </c>
      <c r="N18" s="20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0E5</v>
      </c>
      <c r="B19" s="201" t="s">
        <v>462</v>
      </c>
      <c r="C19" s="199" t="s">
        <v>476</v>
      </c>
      <c r="D19" s="199" t="s">
        <v>476</v>
      </c>
      <c r="E19" s="198" t="s">
        <v>476</v>
      </c>
      <c r="F19" s="199" t="s">
        <v>476</v>
      </c>
      <c r="G19" s="204"/>
      <c r="H19" s="199" t="s">
        <v>476</v>
      </c>
      <c r="I19" s="198" t="s">
        <v>476</v>
      </c>
      <c r="J19" s="199" t="s">
        <v>476</v>
      </c>
      <c r="K19" s="204" t="s">
        <v>463</v>
      </c>
      <c r="L19" s="205" t="s">
        <v>464</v>
      </c>
      <c r="M19" s="203" t="s">
        <v>7</v>
      </c>
      <c r="N19" s="20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0E6</v>
      </c>
      <c r="B20" s="201" t="s">
        <v>462</v>
      </c>
      <c r="C20" s="199" t="s">
        <v>476</v>
      </c>
      <c r="D20" s="199" t="s">
        <v>476</v>
      </c>
      <c r="E20" s="198" t="s">
        <v>476</v>
      </c>
      <c r="F20" s="199" t="s">
        <v>476</v>
      </c>
      <c r="G20" s="204"/>
      <c r="H20" s="199" t="s">
        <v>476</v>
      </c>
      <c r="I20" s="198" t="s">
        <v>476</v>
      </c>
      <c r="J20" s="199" t="s">
        <v>476</v>
      </c>
      <c r="K20" s="204" t="s">
        <v>463</v>
      </c>
      <c r="L20" s="205" t="s">
        <v>464</v>
      </c>
      <c r="M20" s="203" t="s">
        <v>7</v>
      </c>
      <c r="N20" s="20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0E7</v>
      </c>
      <c r="B21" s="208" t="s">
        <v>35</v>
      </c>
      <c r="C21" s="200" t="s">
        <v>476</v>
      </c>
      <c r="D21" s="200" t="s">
        <v>476</v>
      </c>
      <c r="E21" s="200" t="s">
        <v>476</v>
      </c>
      <c r="F21" s="200" t="s">
        <v>476</v>
      </c>
      <c r="G21" s="208"/>
      <c r="H21" s="200" t="s">
        <v>476</v>
      </c>
      <c r="I21" s="200" t="s">
        <v>476</v>
      </c>
      <c r="J21" s="200" t="s">
        <v>476</v>
      </c>
      <c r="K21" s="208" t="s">
        <v>463</v>
      </c>
      <c r="L21" s="209" t="s">
        <v>464</v>
      </c>
      <c r="M21" s="211" t="s">
        <v>493</v>
      </c>
      <c r="N21" s="210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AK38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752</v>
      </c>
      <c r="B1" s="95"/>
      <c r="C1" s="96"/>
      <c r="D1" s="95"/>
      <c r="E1" s="97" t="s">
        <v>29</v>
      </c>
      <c r="F1" s="96"/>
      <c r="G1" s="96" t="str">
        <f>'Decoder Table'!A61</f>
        <v>0x81</v>
      </c>
      <c r="H1" s="96"/>
      <c r="I1" s="97" t="s">
        <v>471</v>
      </c>
      <c r="J1" s="96"/>
      <c r="K1" s="96"/>
      <c r="L1" s="96" t="str">
        <f>CONCATENATE("0x",'Decoder Table'!B61)</f>
        <v>0x448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448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449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161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44A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163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44B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/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44C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/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44D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/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44E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/>
      <c r="I11" s="65"/>
      <c r="J11" s="65"/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44F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623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750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450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/>
      <c r="G14" s="68"/>
      <c r="H14" s="66"/>
      <c r="I14" s="65" t="s">
        <v>312</v>
      </c>
      <c r="J14" s="66" t="s">
        <v>311</v>
      </c>
      <c r="K14" s="72" t="s">
        <v>463</v>
      </c>
      <c r="L14" s="73" t="s">
        <v>464</v>
      </c>
      <c r="M14" s="70" t="s">
        <v>504</v>
      </c>
      <c r="N14" s="76" t="s">
        <v>162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451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/>
      <c r="G15" s="72"/>
      <c r="H15" s="66"/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160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452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/>
      <c r="G16" s="72"/>
      <c r="H16" s="66"/>
      <c r="I16" s="65" t="s">
        <v>488</v>
      </c>
      <c r="J16" s="66" t="s">
        <v>314</v>
      </c>
      <c r="K16" s="72" t="s">
        <v>463</v>
      </c>
      <c r="L16" s="73" t="s">
        <v>464</v>
      </c>
      <c r="M16" s="70" t="s">
        <v>625</v>
      </c>
      <c r="N16" s="77" t="s">
        <v>626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453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479</v>
      </c>
      <c r="G17" s="72"/>
      <c r="H17" s="66" t="s">
        <v>296</v>
      </c>
      <c r="I17" s="65" t="s">
        <v>315</v>
      </c>
      <c r="J17" s="66"/>
      <c r="K17" s="72" t="s">
        <v>463</v>
      </c>
      <c r="L17" s="73" t="s">
        <v>464</v>
      </c>
      <c r="M17" s="70" t="s">
        <v>15</v>
      </c>
      <c r="N17" s="74" t="s">
        <v>643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454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/>
      <c r="G18" s="72"/>
      <c r="H18" s="66"/>
      <c r="I18" s="65"/>
      <c r="J18" s="66"/>
      <c r="K18" s="72" t="s">
        <v>463</v>
      </c>
      <c r="L18" s="73" t="s">
        <v>464</v>
      </c>
      <c r="M18" s="70" t="s">
        <v>7</v>
      </c>
      <c r="N18" s="74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455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/>
      <c r="G19" s="72"/>
      <c r="H19" s="66"/>
      <c r="I19" s="65"/>
      <c r="J19" s="66"/>
      <c r="K19" s="72" t="s">
        <v>463</v>
      </c>
      <c r="L19" s="73" t="s">
        <v>464</v>
      </c>
      <c r="M19" s="70" t="s">
        <v>7</v>
      </c>
      <c r="N19" s="74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456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/>
      <c r="G20" s="72"/>
      <c r="H20" s="66"/>
      <c r="I20" s="65"/>
      <c r="J20" s="66"/>
      <c r="K20" s="72" t="s">
        <v>463</v>
      </c>
      <c r="L20" s="73" t="s">
        <v>464</v>
      </c>
      <c r="M20" s="70" t="s">
        <v>7</v>
      </c>
      <c r="N20" s="74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457</v>
      </c>
      <c r="B21" s="68" t="s">
        <v>462</v>
      </c>
      <c r="C21" s="66"/>
      <c r="D21" s="66"/>
      <c r="E21" s="65"/>
      <c r="F21" s="66"/>
      <c r="G21" s="72"/>
      <c r="H21" s="66"/>
      <c r="I21" s="65"/>
      <c r="J21" s="66"/>
      <c r="K21" s="72" t="s">
        <v>463</v>
      </c>
      <c r="L21" s="73" t="s">
        <v>464</v>
      </c>
      <c r="M21" s="70" t="s">
        <v>7</v>
      </c>
      <c r="N21" s="75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628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63" t="str">
        <f>IF(MID($L$1,3,1)="0",CONCATENATE("0",DEC2HEX(HEX2DEC(MID($L$1,3,3))+16)),DEC2HEX(HEX2DEC(MID($L$1,3,3))+16))</f>
        <v>458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/>
      <c r="G23" s="68"/>
      <c r="H23" s="66"/>
      <c r="I23" s="65" t="s">
        <v>312</v>
      </c>
      <c r="J23" s="66" t="s">
        <v>311</v>
      </c>
      <c r="K23" s="72" t="s">
        <v>463</v>
      </c>
      <c r="L23" s="73" t="s">
        <v>464</v>
      </c>
      <c r="M23" s="70" t="s">
        <v>504</v>
      </c>
      <c r="N23" s="76" t="s">
        <v>162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63" t="str">
        <f>IF(MID($L$1,3,1)="0",CONCATENATE("0",DEC2HEX(HEX2DEC(MID($L$1,3,3))+17)),DEC2HEX(HEX2DEC(MID($L$1,3,3))+17))</f>
        <v>459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/>
      <c r="G24" s="72"/>
      <c r="H24" s="66"/>
      <c r="I24" s="65" t="s">
        <v>313</v>
      </c>
      <c r="J24" s="66" t="s">
        <v>316</v>
      </c>
      <c r="K24" s="72" t="s">
        <v>478</v>
      </c>
      <c r="L24" s="73" t="s">
        <v>464</v>
      </c>
      <c r="M24" s="70" t="s">
        <v>500</v>
      </c>
      <c r="N24" s="77" t="s">
        <v>629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63" t="str">
        <f>IF(MID($L$1,3,1)="0",CONCATENATE("0",DEC2HEX(HEX2DEC(MID($L$1,3,3))+18)),DEC2HEX(HEX2DEC(MID($L$1,3,3))+18))</f>
        <v>45A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/>
      <c r="G25" s="72"/>
      <c r="H25" s="66"/>
      <c r="I25" s="65"/>
      <c r="J25" s="66"/>
      <c r="K25" s="72" t="s">
        <v>478</v>
      </c>
      <c r="L25" s="73" t="s">
        <v>464</v>
      </c>
      <c r="M25" s="70" t="s">
        <v>7</v>
      </c>
      <c r="N25" s="74" t="s">
        <v>36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63" t="str">
        <f>IF(MID($L$1,3,1)="0",CONCATENATE("0",DEC2HEX(HEX2DEC(MID($L$1,3,3))+19)),DEC2HEX(HEX2DEC(MID($L$1,3,3))+19))</f>
        <v>45B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/>
      <c r="G26" s="72"/>
      <c r="H26" s="66"/>
      <c r="I26" s="65"/>
      <c r="J26" s="66"/>
      <c r="K26" s="72" t="s">
        <v>478</v>
      </c>
      <c r="L26" s="73" t="s">
        <v>464</v>
      </c>
      <c r="M26" s="70" t="s">
        <v>7</v>
      </c>
      <c r="N26" s="74" t="s">
        <v>36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63" t="str">
        <f>IF(MID($L$1,3,1)="0",CONCATENATE("0",DEC2HEX(HEX2DEC(MID($L$1,3,3))+20)),DEC2HEX(HEX2DEC(MID($L$1,3,3))+20))</f>
        <v>45C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/>
      <c r="G27" s="72"/>
      <c r="H27" s="66"/>
      <c r="I27" s="65"/>
      <c r="J27" s="66"/>
      <c r="K27" s="72" t="s">
        <v>478</v>
      </c>
      <c r="L27" s="73" t="s">
        <v>464</v>
      </c>
      <c r="M27" s="70" t="s">
        <v>7</v>
      </c>
      <c r="N27" s="74" t="s">
        <v>36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63" t="str">
        <f>IF(MID($L$1,3,1)="0",CONCATENATE("0",DEC2HEX(HEX2DEC(MID($L$1,3,3))+21)),DEC2HEX(HEX2DEC(MID($L$1,3,3))+21))</f>
        <v>45D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/>
      <c r="G28" s="72"/>
      <c r="H28" s="66"/>
      <c r="I28" s="65"/>
      <c r="J28" s="66"/>
      <c r="K28" s="72" t="s">
        <v>478</v>
      </c>
      <c r="L28" s="73" t="s">
        <v>464</v>
      </c>
      <c r="M28" s="70" t="s">
        <v>7</v>
      </c>
      <c r="N28" s="74" t="s">
        <v>36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63" t="str">
        <f>IF(MID($L$1,3,1)="0",CONCATENATE("0",DEC2HEX(HEX2DEC(MID($L$1,3,3))+22)),DEC2HEX(HEX2DEC(MID($L$1,3,3))+22))</f>
        <v>45E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/>
      <c r="G29" s="72"/>
      <c r="H29" s="66"/>
      <c r="I29" s="65"/>
      <c r="J29" s="66"/>
      <c r="K29" s="72" t="s">
        <v>463</v>
      </c>
      <c r="L29" s="73" t="s">
        <v>464</v>
      </c>
      <c r="M29" s="70" t="s">
        <v>7</v>
      </c>
      <c r="N29" s="74" t="s">
        <v>36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5" thickBot="1" x14ac:dyDescent="0.35">
      <c r="A30" s="64" t="str">
        <f>IF(MID($L$1,3,1)="0",CONCATENATE("0",DEC2HEX(HEX2DEC(MID($L$1,3,3))+23)),DEC2HEX(HEX2DEC(MID($L$1,3,3))+23))</f>
        <v>45F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s="2" customFormat="1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s="2" customFormat="1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s="2" customFormat="1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s="2" customFormat="1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s="2" customFormat="1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s="2" customFormat="1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30 B6:B12">
      <formula1>"Next,Decode,Fetch"</formula1>
    </dataValidation>
    <dataValidation type="list" showInputMessage="1" showErrorMessage="1" sqref="D23:D30 D5:D12 D14:D21">
      <formula1>"Enable"</formula1>
    </dataValidation>
    <dataValidation type="list" allowBlank="1" showInputMessage="1" showErrorMessage="1" sqref="G23:G30 G5:G12 G14:G21">
      <formula1>"S,O,Z,NS,NO,NZ"</formula1>
    </dataValidation>
    <dataValidation type="list" allowBlank="1" showInputMessage="1" showErrorMessage="1" sqref="F23:F30 F5:F12 F14:F21">
      <formula1>"Affect"</formula1>
    </dataValidation>
    <dataValidation type="list" allowBlank="1" showInputMessage="1" showErrorMessage="1" sqref="C23:C30 C5:C12 C14:C21">
      <formula1>"Clear"</formula1>
    </dataValidation>
    <dataValidation type="list" allowBlank="1" showInputMessage="1" showErrorMessage="1" sqref="H23:H30 H5:H12 H14:H21">
      <formula1>"ADD,AND,DEC,DIV,INC,MOD,MUL,NOT,OR,ROL,ROR,SHL,SHR,SUB,XOR"</formula1>
    </dataValidation>
    <dataValidation type="list" allowBlank="1" showInputMessage="1" showErrorMessage="1" sqref="J14:J21 J5:J12 J23:J30">
      <formula1>"from DATA,from IP,from MAR,from MBR,from MDR,from RES,from [SEL],from SR"</formula1>
    </dataValidation>
    <dataValidation type="list" showInputMessage="1" showErrorMessage="1" sqref="L14:L21 L23:L30 L5:L12">
      <formula1>"IO,MEM"</formula1>
    </dataValidation>
    <dataValidation type="list" showInputMessage="1" showErrorMessage="1" sqref="K14:K21 K23:K30 K5:K12">
      <formula1>"R,W"</formula1>
    </dataValidation>
    <dataValidation type="list" showErrorMessage="1" errorTitle="Next MIP Address" error="Empty field not allowed" sqref="B5 B23:B29 B14:B21">
      <formula1>"Next,Decode,Fetch"</formula1>
    </dataValidation>
    <dataValidation type="textLength" allowBlank="1" showInputMessage="1" showErrorMessage="1" errorTitle="Hex number required" error="Enter a 3-digit hex number, e.g. 04A, 00C, 7A9" sqref="E23:E30 E5:E12 E14:E21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121</v>
      </c>
      <c r="B1" s="95"/>
      <c r="C1" s="96"/>
      <c r="D1" s="95"/>
      <c r="E1" s="97" t="s">
        <v>29</v>
      </c>
      <c r="F1" s="96"/>
      <c r="G1" s="96" t="str">
        <f>'Decoder Table'!A25</f>
        <v>0xB3</v>
      </c>
      <c r="H1" s="96"/>
      <c r="I1" s="97" t="s">
        <v>471</v>
      </c>
      <c r="J1" s="96"/>
      <c r="K1" s="96"/>
      <c r="L1" s="96" t="str">
        <f>CONCATENATE("0x",'Decoder Table'!B25)</f>
        <v>0x1A0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1A0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1A1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1A2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1A3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1A4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1A5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1A6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1A7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1A8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1A9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1AA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1AB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1AC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1AD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1AE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1AF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1B0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489</v>
      </c>
      <c r="J23" s="65" t="s">
        <v>311</v>
      </c>
      <c r="K23" s="68" t="s">
        <v>463</v>
      </c>
      <c r="L23" s="69" t="s">
        <v>464</v>
      </c>
      <c r="M23" s="70" t="s">
        <v>533</v>
      </c>
      <c r="N23" s="76" t="s">
        <v>534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1B1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488</v>
      </c>
      <c r="J24" s="66" t="s">
        <v>308</v>
      </c>
      <c r="K24" s="72" t="s">
        <v>463</v>
      </c>
      <c r="L24" s="73" t="s">
        <v>464</v>
      </c>
      <c r="M24" s="70" t="s">
        <v>519</v>
      </c>
      <c r="N24" s="77" t="s">
        <v>520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1B2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479</v>
      </c>
      <c r="G25" s="72"/>
      <c r="H25" s="66" t="s">
        <v>294</v>
      </c>
      <c r="I25" s="65" t="s">
        <v>315</v>
      </c>
      <c r="J25" s="66" t="s">
        <v>476</v>
      </c>
      <c r="K25" s="72" t="s">
        <v>463</v>
      </c>
      <c r="L25" s="73" t="s">
        <v>464</v>
      </c>
      <c r="M25" s="70" t="s">
        <v>123</v>
      </c>
      <c r="N25" s="77" t="s">
        <v>122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1B3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495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1B4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1B5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1B6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1B7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145</v>
      </c>
      <c r="B1" s="95"/>
      <c r="C1" s="96"/>
      <c r="D1" s="95"/>
      <c r="E1" s="97" t="s">
        <v>29</v>
      </c>
      <c r="F1" s="96"/>
      <c r="G1" s="96" t="str">
        <f>'Decoder Table'!A14</f>
        <v>0xA3</v>
      </c>
      <c r="H1" s="96"/>
      <c r="I1" s="97" t="s">
        <v>471</v>
      </c>
      <c r="J1" s="96"/>
      <c r="K1" s="96"/>
      <c r="L1" s="96" t="str">
        <f>CONCATENATE("0x",'Decoder Table'!B14)</f>
        <v>0x0B0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0B0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0B1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0B2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0B3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0B4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0B5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0B6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0B7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0B8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0B9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0BA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0BB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0BC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0BD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0BE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0BF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0C0</v>
      </c>
      <c r="B23" s="215" t="s">
        <v>462</v>
      </c>
      <c r="C23" s="212" t="s">
        <v>476</v>
      </c>
      <c r="D23" s="212" t="s">
        <v>476</v>
      </c>
      <c r="E23" s="212" t="s">
        <v>476</v>
      </c>
      <c r="F23" s="212" t="s">
        <v>476</v>
      </c>
      <c r="G23" s="215"/>
      <c r="H23" s="213" t="s">
        <v>476</v>
      </c>
      <c r="I23" s="212" t="s">
        <v>306</v>
      </c>
      <c r="J23" s="212" t="s">
        <v>314</v>
      </c>
      <c r="K23" s="215" t="s">
        <v>463</v>
      </c>
      <c r="L23" s="216" t="s">
        <v>464</v>
      </c>
      <c r="M23" s="217" t="s">
        <v>494</v>
      </c>
      <c r="N23" s="220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0C1</v>
      </c>
      <c r="B24" s="215" t="s">
        <v>462</v>
      </c>
      <c r="C24" s="213" t="s">
        <v>476</v>
      </c>
      <c r="D24" s="213" t="s">
        <v>476</v>
      </c>
      <c r="E24" s="212" t="s">
        <v>476</v>
      </c>
      <c r="F24" s="213" t="s">
        <v>476</v>
      </c>
      <c r="G24" s="218"/>
      <c r="H24" s="213" t="s">
        <v>476</v>
      </c>
      <c r="I24" s="212" t="s">
        <v>489</v>
      </c>
      <c r="J24" s="213" t="s">
        <v>308</v>
      </c>
      <c r="K24" s="218" t="s">
        <v>463</v>
      </c>
      <c r="L24" s="219" t="s">
        <v>464</v>
      </c>
      <c r="M24" s="217" t="s">
        <v>521</v>
      </c>
      <c r="N24" s="221" t="s">
        <v>529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0C2</v>
      </c>
      <c r="B25" s="215" t="s">
        <v>462</v>
      </c>
      <c r="C25" s="213" t="s">
        <v>476</v>
      </c>
      <c r="D25" s="213" t="s">
        <v>476</v>
      </c>
      <c r="E25" s="212" t="s">
        <v>476</v>
      </c>
      <c r="F25" s="213" t="s">
        <v>476</v>
      </c>
      <c r="G25" s="218"/>
      <c r="H25" s="213" t="s">
        <v>476</v>
      </c>
      <c r="I25" s="212" t="s">
        <v>488</v>
      </c>
      <c r="J25" s="213" t="s">
        <v>316</v>
      </c>
      <c r="K25" s="218" t="s">
        <v>463</v>
      </c>
      <c r="L25" s="219" t="s">
        <v>464</v>
      </c>
      <c r="M25" s="217" t="s">
        <v>527</v>
      </c>
      <c r="N25" s="221" t="s">
        <v>528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0C3</v>
      </c>
      <c r="B26" s="215" t="s">
        <v>462</v>
      </c>
      <c r="C26" s="213" t="s">
        <v>476</v>
      </c>
      <c r="D26" s="213" t="s">
        <v>476</v>
      </c>
      <c r="E26" s="212" t="s">
        <v>476</v>
      </c>
      <c r="F26" s="213" t="s">
        <v>479</v>
      </c>
      <c r="G26" s="218"/>
      <c r="H26" s="213" t="s">
        <v>294</v>
      </c>
      <c r="I26" s="212" t="s">
        <v>315</v>
      </c>
      <c r="J26" s="213" t="s">
        <v>476</v>
      </c>
      <c r="K26" s="218" t="s">
        <v>463</v>
      </c>
      <c r="L26" s="219" t="s">
        <v>464</v>
      </c>
      <c r="M26" s="217" t="s">
        <v>146</v>
      </c>
      <c r="N26" s="221" t="s">
        <v>122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0C4</v>
      </c>
      <c r="B27" s="215" t="s">
        <v>462</v>
      </c>
      <c r="C27" s="213" t="s">
        <v>476</v>
      </c>
      <c r="D27" s="213" t="s">
        <v>476</v>
      </c>
      <c r="E27" s="212" t="s">
        <v>476</v>
      </c>
      <c r="F27" s="213" t="s">
        <v>476</v>
      </c>
      <c r="G27" s="218"/>
      <c r="H27" s="213" t="s">
        <v>476</v>
      </c>
      <c r="I27" s="212" t="s">
        <v>306</v>
      </c>
      <c r="J27" s="213" t="s">
        <v>311</v>
      </c>
      <c r="K27" s="218" t="s">
        <v>463</v>
      </c>
      <c r="L27" s="219" t="s">
        <v>464</v>
      </c>
      <c r="M27" s="217" t="s">
        <v>497</v>
      </c>
      <c r="N27" s="221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0C5</v>
      </c>
      <c r="B28" s="215" t="s">
        <v>462</v>
      </c>
      <c r="C28" s="213" t="s">
        <v>476</v>
      </c>
      <c r="D28" s="213" t="s">
        <v>476</v>
      </c>
      <c r="E28" s="212" t="s">
        <v>476</v>
      </c>
      <c r="F28" s="213" t="s">
        <v>476</v>
      </c>
      <c r="G28" s="218"/>
      <c r="H28" s="213" t="s">
        <v>476</v>
      </c>
      <c r="I28" s="212" t="s">
        <v>307</v>
      </c>
      <c r="J28" s="213" t="s">
        <v>316</v>
      </c>
      <c r="K28" s="218" t="s">
        <v>463</v>
      </c>
      <c r="L28" s="219" t="s">
        <v>464</v>
      </c>
      <c r="M28" s="217" t="s">
        <v>495</v>
      </c>
      <c r="N28" s="221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0C6</v>
      </c>
      <c r="B29" s="215" t="s">
        <v>462</v>
      </c>
      <c r="C29" s="213" t="s">
        <v>476</v>
      </c>
      <c r="D29" s="213" t="s">
        <v>476</v>
      </c>
      <c r="E29" s="212" t="s">
        <v>476</v>
      </c>
      <c r="F29" s="213" t="s">
        <v>476</v>
      </c>
      <c r="G29" s="218"/>
      <c r="H29" s="213" t="s">
        <v>476</v>
      </c>
      <c r="I29" s="212" t="s">
        <v>476</v>
      </c>
      <c r="J29" s="213" t="s">
        <v>476</v>
      </c>
      <c r="K29" s="218" t="s">
        <v>463</v>
      </c>
      <c r="L29" s="219" t="s">
        <v>464</v>
      </c>
      <c r="M29" s="217" t="s">
        <v>7</v>
      </c>
      <c r="N29" s="221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0C7</v>
      </c>
      <c r="B30" s="222" t="s">
        <v>35</v>
      </c>
      <c r="C30" s="214" t="s">
        <v>476</v>
      </c>
      <c r="D30" s="214" t="s">
        <v>476</v>
      </c>
      <c r="E30" s="214" t="s">
        <v>476</v>
      </c>
      <c r="F30" s="214" t="s">
        <v>476</v>
      </c>
      <c r="G30" s="222"/>
      <c r="H30" s="214" t="s">
        <v>476</v>
      </c>
      <c r="I30" s="214" t="s">
        <v>476</v>
      </c>
      <c r="J30" s="214" t="s">
        <v>476</v>
      </c>
      <c r="K30" s="222" t="s">
        <v>463</v>
      </c>
      <c r="L30" s="223" t="s">
        <v>464</v>
      </c>
      <c r="M30" s="225" t="s">
        <v>493</v>
      </c>
      <c r="N30" s="224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4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225</v>
      </c>
      <c r="B1" s="95"/>
      <c r="C1" s="96"/>
      <c r="D1" s="95"/>
      <c r="E1" s="97" t="s">
        <v>29</v>
      </c>
      <c r="F1" s="96"/>
      <c r="G1" s="96" t="str">
        <f>'Decoder Table'!A6</f>
        <v>0x00</v>
      </c>
      <c r="H1" s="96"/>
      <c r="I1" s="97" t="s">
        <v>471</v>
      </c>
      <c r="J1" s="96"/>
      <c r="K1" s="96"/>
      <c r="L1" s="96" t="str">
        <f>CONCATENATE("0x",'Decoder Table'!B6)</f>
        <v>0x020</v>
      </c>
      <c r="M1" s="96"/>
      <c r="N1" s="98" t="s">
        <v>744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12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13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020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476</v>
      </c>
      <c r="J5" s="65" t="s">
        <v>476</v>
      </c>
      <c r="K5" s="68" t="s">
        <v>463</v>
      </c>
      <c r="L5" s="69" t="s">
        <v>464</v>
      </c>
      <c r="M5" s="70" t="s">
        <v>7</v>
      </c>
      <c r="N5" s="71" t="s">
        <v>36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021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476</v>
      </c>
      <c r="J6" s="66" t="s">
        <v>476</v>
      </c>
      <c r="K6" s="72" t="s">
        <v>463</v>
      </c>
      <c r="L6" s="73" t="s">
        <v>464</v>
      </c>
      <c r="M6" s="70" t="s">
        <v>7</v>
      </c>
      <c r="N6" s="74" t="s">
        <v>36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022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476</v>
      </c>
      <c r="J7" s="66" t="s">
        <v>476</v>
      </c>
      <c r="K7" s="72" t="s">
        <v>463</v>
      </c>
      <c r="L7" s="73" t="s">
        <v>464</v>
      </c>
      <c r="M7" s="70" t="s">
        <v>7</v>
      </c>
      <c r="N7" s="74" t="s">
        <v>36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023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476</v>
      </c>
      <c r="J8" s="66" t="s">
        <v>476</v>
      </c>
      <c r="K8" s="72" t="s">
        <v>463</v>
      </c>
      <c r="L8" s="73" t="s">
        <v>464</v>
      </c>
      <c r="M8" s="70" t="s">
        <v>7</v>
      </c>
      <c r="N8" s="74" t="s">
        <v>36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024</v>
      </c>
      <c r="B9" s="72" t="s">
        <v>462</v>
      </c>
      <c r="C9" s="66" t="s">
        <v>476</v>
      </c>
      <c r="D9" s="66"/>
      <c r="E9" s="65"/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025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296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621</v>
      </c>
      <c r="N10" s="74" t="s">
        <v>97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026</v>
      </c>
      <c r="B11" s="68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7" t="s">
        <v>622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027</v>
      </c>
      <c r="B12" s="79" t="s">
        <v>35</v>
      </c>
      <c r="C12" s="67" t="s">
        <v>476</v>
      </c>
      <c r="D12" s="67" t="s">
        <v>476</v>
      </c>
      <c r="E12" s="67" t="s">
        <v>476</v>
      </c>
      <c r="F12" s="67" t="s">
        <v>476</v>
      </c>
      <c r="G12" s="79"/>
      <c r="H12" s="67" t="s">
        <v>476</v>
      </c>
      <c r="I12" s="67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8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0 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 B11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234</v>
      </c>
      <c r="B1" s="95"/>
      <c r="C1" s="96"/>
      <c r="D1" s="95"/>
      <c r="E1" s="97" t="s">
        <v>29</v>
      </c>
      <c r="F1" s="96"/>
      <c r="G1" s="96" t="str">
        <f>'Decoder Table'!A54</f>
        <v>0xF0</v>
      </c>
      <c r="H1" s="96"/>
      <c r="I1" s="97" t="s">
        <v>471</v>
      </c>
      <c r="J1" s="96"/>
      <c r="K1" s="96"/>
      <c r="L1" s="96" t="str">
        <f>CONCATENATE("0x",'Decoder Table'!B54)</f>
        <v>0x3F0</v>
      </c>
      <c r="M1" s="96"/>
      <c r="N1" s="98" t="s">
        <v>801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3F0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3F1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3F2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3F3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3F4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3F5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3F6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3F7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3F8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314</v>
      </c>
      <c r="K14" s="68" t="s">
        <v>463</v>
      </c>
      <c r="L14" s="69" t="s">
        <v>486</v>
      </c>
      <c r="M14" s="70" t="s">
        <v>507</v>
      </c>
      <c r="N14" s="76" t="s">
        <v>78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3F9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486</v>
      </c>
      <c r="M15" s="70" t="s">
        <v>20</v>
      </c>
      <c r="N15" s="77" t="s">
        <v>79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3FA</v>
      </c>
      <c r="B16" s="68" t="s">
        <v>462</v>
      </c>
      <c r="C16" s="66" t="s">
        <v>476</v>
      </c>
      <c r="D16" s="66" t="s">
        <v>548</v>
      </c>
      <c r="E16" s="65" t="s">
        <v>3</v>
      </c>
      <c r="F16" s="66" t="s">
        <v>476</v>
      </c>
      <c r="G16" s="72"/>
      <c r="H16" s="66" t="s">
        <v>476</v>
      </c>
      <c r="I16" s="65" t="s">
        <v>306</v>
      </c>
      <c r="J16" s="66" t="s">
        <v>476</v>
      </c>
      <c r="K16" s="72" t="s">
        <v>463</v>
      </c>
      <c r="L16" s="73" t="s">
        <v>486</v>
      </c>
      <c r="M16" s="70" t="s">
        <v>514</v>
      </c>
      <c r="N16" s="77" t="s">
        <v>82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3FB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307</v>
      </c>
      <c r="J17" s="66" t="s">
        <v>314</v>
      </c>
      <c r="K17" s="72" t="s">
        <v>463</v>
      </c>
      <c r="L17" s="73" t="s">
        <v>486</v>
      </c>
      <c r="M17" s="70" t="s">
        <v>506</v>
      </c>
      <c r="N17" s="77" t="s">
        <v>83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3FC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476</v>
      </c>
      <c r="J18" s="66" t="s">
        <v>476</v>
      </c>
      <c r="K18" s="72" t="s">
        <v>463</v>
      </c>
      <c r="L18" s="73" t="s">
        <v>486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3FD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486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3FE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486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3FF</v>
      </c>
      <c r="B21" s="79" t="s">
        <v>35</v>
      </c>
      <c r="C21" s="67" t="s">
        <v>476</v>
      </c>
      <c r="D21" s="67" t="s">
        <v>476</v>
      </c>
      <c r="E21" s="67" t="s">
        <v>476</v>
      </c>
      <c r="F21" s="67" t="s">
        <v>476</v>
      </c>
      <c r="G21" s="79"/>
      <c r="H21" s="67" t="s">
        <v>476</v>
      </c>
      <c r="I21" s="67" t="s">
        <v>476</v>
      </c>
      <c r="J21" s="67" t="s">
        <v>476</v>
      </c>
      <c r="K21" s="79" t="s">
        <v>463</v>
      </c>
      <c r="L21" s="80" t="s">
        <v>464</v>
      </c>
      <c r="M21" s="100" t="s">
        <v>493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228</v>
      </c>
      <c r="B1" s="95"/>
      <c r="C1" s="96"/>
      <c r="D1" s="95"/>
      <c r="E1" s="97" t="s">
        <v>29</v>
      </c>
      <c r="F1" s="96"/>
      <c r="G1" s="96" t="str">
        <f>'Decoder Table'!A15</f>
        <v>0xA4</v>
      </c>
      <c r="H1" s="96"/>
      <c r="I1" s="97" t="s">
        <v>471</v>
      </c>
      <c r="J1" s="96"/>
      <c r="K1" s="96"/>
      <c r="L1" s="96" t="str">
        <f>CONCATENATE("0x",'Decoder Table'!B15)</f>
        <v>0x0C8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0C8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0C9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0CA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0CB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0CC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0CD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0CE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0CF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0D0</v>
      </c>
      <c r="B14" s="229" t="s">
        <v>462</v>
      </c>
      <c r="C14" s="226" t="s">
        <v>476</v>
      </c>
      <c r="D14" s="226" t="s">
        <v>476</v>
      </c>
      <c r="E14" s="226" t="s">
        <v>476</v>
      </c>
      <c r="F14" s="226" t="s">
        <v>476</v>
      </c>
      <c r="G14" s="229"/>
      <c r="H14" s="227" t="s">
        <v>476</v>
      </c>
      <c r="I14" s="226" t="s">
        <v>306</v>
      </c>
      <c r="J14" s="226" t="s">
        <v>314</v>
      </c>
      <c r="K14" s="229" t="s">
        <v>463</v>
      </c>
      <c r="L14" s="230" t="s">
        <v>464</v>
      </c>
      <c r="M14" s="231" t="s">
        <v>494</v>
      </c>
      <c r="N14" s="234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0D1</v>
      </c>
      <c r="B15" s="229" t="s">
        <v>462</v>
      </c>
      <c r="C15" s="227" t="s">
        <v>476</v>
      </c>
      <c r="D15" s="227" t="s">
        <v>476</v>
      </c>
      <c r="E15" s="226" t="s">
        <v>476</v>
      </c>
      <c r="F15" s="227" t="s">
        <v>476</v>
      </c>
      <c r="G15" s="232"/>
      <c r="H15" s="227" t="s">
        <v>476</v>
      </c>
      <c r="I15" s="226" t="s">
        <v>488</v>
      </c>
      <c r="J15" s="227" t="s">
        <v>308</v>
      </c>
      <c r="K15" s="232" t="s">
        <v>463</v>
      </c>
      <c r="L15" s="233" t="s">
        <v>464</v>
      </c>
      <c r="M15" s="231" t="s">
        <v>519</v>
      </c>
      <c r="N15" s="235" t="s">
        <v>520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0D2</v>
      </c>
      <c r="B16" s="229" t="s">
        <v>462</v>
      </c>
      <c r="C16" s="227" t="s">
        <v>476</v>
      </c>
      <c r="D16" s="227" t="s">
        <v>476</v>
      </c>
      <c r="E16" s="226" t="s">
        <v>476</v>
      </c>
      <c r="F16" s="227" t="s">
        <v>479</v>
      </c>
      <c r="G16" s="232"/>
      <c r="H16" s="227" t="s">
        <v>297</v>
      </c>
      <c r="I16" s="226" t="s">
        <v>315</v>
      </c>
      <c r="J16" s="227" t="s">
        <v>476</v>
      </c>
      <c r="K16" s="232" t="s">
        <v>463</v>
      </c>
      <c r="L16" s="233" t="s">
        <v>464</v>
      </c>
      <c r="M16" s="231" t="s">
        <v>6</v>
      </c>
      <c r="N16" s="235" t="s">
        <v>103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0D3</v>
      </c>
      <c r="B17" s="229" t="s">
        <v>462</v>
      </c>
      <c r="C17" s="227" t="s">
        <v>476</v>
      </c>
      <c r="D17" s="227" t="s">
        <v>476</v>
      </c>
      <c r="E17" s="226" t="s">
        <v>476</v>
      </c>
      <c r="F17" s="227" t="s">
        <v>476</v>
      </c>
      <c r="G17" s="232"/>
      <c r="H17" s="227" t="s">
        <v>476</v>
      </c>
      <c r="I17" s="226" t="s">
        <v>307</v>
      </c>
      <c r="J17" s="227" t="s">
        <v>316</v>
      </c>
      <c r="K17" s="232" t="s">
        <v>463</v>
      </c>
      <c r="L17" s="233" t="s">
        <v>464</v>
      </c>
      <c r="M17" s="231" t="s">
        <v>495</v>
      </c>
      <c r="N17" s="235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0D4</v>
      </c>
      <c r="B18" s="229" t="s">
        <v>462</v>
      </c>
      <c r="C18" s="227" t="s">
        <v>476</v>
      </c>
      <c r="D18" s="227" t="s">
        <v>476</v>
      </c>
      <c r="E18" s="226" t="s">
        <v>476</v>
      </c>
      <c r="F18" s="227" t="s">
        <v>476</v>
      </c>
      <c r="G18" s="232"/>
      <c r="H18" s="227" t="s">
        <v>476</v>
      </c>
      <c r="I18" s="226" t="s">
        <v>476</v>
      </c>
      <c r="J18" s="227" t="s">
        <v>476</v>
      </c>
      <c r="K18" s="232" t="s">
        <v>463</v>
      </c>
      <c r="L18" s="233" t="s">
        <v>464</v>
      </c>
      <c r="M18" s="231" t="s">
        <v>7</v>
      </c>
      <c r="N18" s="235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0D5</v>
      </c>
      <c r="B19" s="229" t="s">
        <v>462</v>
      </c>
      <c r="C19" s="227" t="s">
        <v>476</v>
      </c>
      <c r="D19" s="227" t="s">
        <v>476</v>
      </c>
      <c r="E19" s="226" t="s">
        <v>476</v>
      </c>
      <c r="F19" s="227" t="s">
        <v>476</v>
      </c>
      <c r="G19" s="232"/>
      <c r="H19" s="227" t="s">
        <v>476</v>
      </c>
      <c r="I19" s="226" t="s">
        <v>476</v>
      </c>
      <c r="J19" s="227" t="s">
        <v>476</v>
      </c>
      <c r="K19" s="232" t="s">
        <v>463</v>
      </c>
      <c r="L19" s="233" t="s">
        <v>464</v>
      </c>
      <c r="M19" s="231" t="s">
        <v>7</v>
      </c>
      <c r="N19" s="235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0D6</v>
      </c>
      <c r="B20" s="229" t="s">
        <v>462</v>
      </c>
      <c r="C20" s="227" t="s">
        <v>476</v>
      </c>
      <c r="D20" s="227" t="s">
        <v>476</v>
      </c>
      <c r="E20" s="226" t="s">
        <v>476</v>
      </c>
      <c r="F20" s="227" t="s">
        <v>476</v>
      </c>
      <c r="G20" s="232"/>
      <c r="H20" s="227" t="s">
        <v>476</v>
      </c>
      <c r="I20" s="226" t="s">
        <v>476</v>
      </c>
      <c r="J20" s="227" t="s">
        <v>476</v>
      </c>
      <c r="K20" s="232" t="s">
        <v>463</v>
      </c>
      <c r="L20" s="233" t="s">
        <v>464</v>
      </c>
      <c r="M20" s="231" t="s">
        <v>7</v>
      </c>
      <c r="N20" s="235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0D7</v>
      </c>
      <c r="B21" s="236" t="s">
        <v>35</v>
      </c>
      <c r="C21" s="228" t="s">
        <v>476</v>
      </c>
      <c r="D21" s="228" t="s">
        <v>476</v>
      </c>
      <c r="E21" s="228" t="s">
        <v>476</v>
      </c>
      <c r="F21" s="228" t="s">
        <v>476</v>
      </c>
      <c r="G21" s="236"/>
      <c r="H21" s="228" t="s">
        <v>476</v>
      </c>
      <c r="I21" s="228" t="s">
        <v>476</v>
      </c>
      <c r="J21" s="228" t="s">
        <v>476</v>
      </c>
      <c r="K21" s="236" t="s">
        <v>463</v>
      </c>
      <c r="L21" s="237" t="s">
        <v>464</v>
      </c>
      <c r="M21" s="239" t="s">
        <v>493</v>
      </c>
      <c r="N21" s="23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0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753</v>
      </c>
      <c r="B1" s="95"/>
      <c r="C1" s="96"/>
      <c r="D1" s="95"/>
      <c r="E1" s="97" t="s">
        <v>29</v>
      </c>
      <c r="F1" s="96"/>
      <c r="G1" s="96" t="str">
        <f>'Decoder Table'!A59</f>
        <v>0x80</v>
      </c>
      <c r="H1" s="96"/>
      <c r="I1" s="97" t="s">
        <v>471</v>
      </c>
      <c r="J1" s="96"/>
      <c r="K1" s="96"/>
      <c r="L1" s="96" t="str">
        <f>CONCATENATE("0x",'Decoder Table'!B59)</f>
        <v>0x428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428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429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42A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55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42B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/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42C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/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42D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/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42E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/>
      <c r="I11" s="65" t="s">
        <v>306</v>
      </c>
      <c r="J11" s="65" t="s">
        <v>311</v>
      </c>
      <c r="K11" s="68" t="s">
        <v>463</v>
      </c>
      <c r="L11" s="69" t="s">
        <v>464</v>
      </c>
      <c r="M11" s="70" t="s">
        <v>497</v>
      </c>
      <c r="N11" s="74" t="s">
        <v>56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42F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623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750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430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/>
      <c r="G14" s="68"/>
      <c r="H14" s="66"/>
      <c r="I14" s="65" t="s">
        <v>312</v>
      </c>
      <c r="J14" s="66" t="s">
        <v>308</v>
      </c>
      <c r="K14" s="72" t="s">
        <v>463</v>
      </c>
      <c r="L14" s="73" t="s">
        <v>464</v>
      </c>
      <c r="M14" s="70" t="s">
        <v>499</v>
      </c>
      <c r="N14" s="76" t="s">
        <v>624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431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/>
      <c r="G15" s="72"/>
      <c r="H15" s="66"/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160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432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/>
      <c r="G16" s="72"/>
      <c r="H16" s="66"/>
      <c r="I16" s="65" t="s">
        <v>488</v>
      </c>
      <c r="J16" s="66" t="s">
        <v>314</v>
      </c>
      <c r="K16" s="72" t="s">
        <v>463</v>
      </c>
      <c r="L16" s="73" t="s">
        <v>464</v>
      </c>
      <c r="M16" s="70" t="s">
        <v>625</v>
      </c>
      <c r="N16" s="77" t="s">
        <v>626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433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479</v>
      </c>
      <c r="G17" s="72"/>
      <c r="H17" s="66" t="s">
        <v>297</v>
      </c>
      <c r="I17" s="65" t="s">
        <v>315</v>
      </c>
      <c r="J17" s="66"/>
      <c r="K17" s="72" t="s">
        <v>463</v>
      </c>
      <c r="L17" s="73" t="s">
        <v>464</v>
      </c>
      <c r="M17" s="70" t="s">
        <v>6</v>
      </c>
      <c r="N17" s="74" t="s">
        <v>627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434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/>
      <c r="G18" s="72"/>
      <c r="H18" s="66"/>
      <c r="I18" s="65"/>
      <c r="J18" s="66"/>
      <c r="K18" s="72" t="s">
        <v>463</v>
      </c>
      <c r="L18" s="73" t="s">
        <v>464</v>
      </c>
      <c r="M18" s="70" t="s">
        <v>7</v>
      </c>
      <c r="N18" s="74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435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/>
      <c r="G19" s="72"/>
      <c r="H19" s="66"/>
      <c r="I19" s="65"/>
      <c r="J19" s="66"/>
      <c r="K19" s="72" t="s">
        <v>463</v>
      </c>
      <c r="L19" s="73" t="s">
        <v>464</v>
      </c>
      <c r="M19" s="70" t="s">
        <v>7</v>
      </c>
      <c r="N19" s="74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436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/>
      <c r="G20" s="72"/>
      <c r="H20" s="66"/>
      <c r="I20" s="65"/>
      <c r="J20" s="66"/>
      <c r="K20" s="72" t="s">
        <v>463</v>
      </c>
      <c r="L20" s="73" t="s">
        <v>464</v>
      </c>
      <c r="M20" s="70" t="s">
        <v>7</v>
      </c>
      <c r="N20" s="74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437</v>
      </c>
      <c r="B21" s="68" t="s">
        <v>462</v>
      </c>
      <c r="C21" s="66"/>
      <c r="D21" s="66"/>
      <c r="E21" s="65"/>
      <c r="F21" s="66"/>
      <c r="G21" s="72"/>
      <c r="H21" s="66"/>
      <c r="I21" s="65"/>
      <c r="J21" s="66"/>
      <c r="K21" s="72" t="s">
        <v>463</v>
      </c>
      <c r="L21" s="73" t="s">
        <v>464</v>
      </c>
      <c r="M21" s="70" t="s">
        <v>7</v>
      </c>
      <c r="N21" s="75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628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63" t="str">
        <f>IF(MID($L$1,3,1)="0",CONCATENATE("0",DEC2HEX(HEX2DEC(MID($L$1,3,3))+16)),DEC2HEX(HEX2DEC(MID($L$1,3,3))+16))</f>
        <v>438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/>
      <c r="G23" s="68"/>
      <c r="H23" s="66"/>
      <c r="I23" s="65" t="s">
        <v>312</v>
      </c>
      <c r="J23" s="66" t="s">
        <v>308</v>
      </c>
      <c r="K23" s="72" t="s">
        <v>463</v>
      </c>
      <c r="L23" s="73" t="s">
        <v>464</v>
      </c>
      <c r="M23" s="70" t="s">
        <v>499</v>
      </c>
      <c r="N23" s="76" t="s">
        <v>624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63" t="str">
        <f>IF(MID($L$1,3,1)="0",CONCATENATE("0",DEC2HEX(HEX2DEC(MID($L$1,3,3))+17)),DEC2HEX(HEX2DEC(MID($L$1,3,3))+17))</f>
        <v>439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/>
      <c r="G24" s="72"/>
      <c r="H24" s="66"/>
      <c r="I24" s="65" t="s">
        <v>313</v>
      </c>
      <c r="J24" s="66" t="s">
        <v>316</v>
      </c>
      <c r="K24" s="72" t="s">
        <v>478</v>
      </c>
      <c r="L24" s="73" t="s">
        <v>464</v>
      </c>
      <c r="M24" s="70" t="s">
        <v>500</v>
      </c>
      <c r="N24" s="77" t="s">
        <v>629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63" t="str">
        <f>IF(MID($L$1,3,1)="0",CONCATENATE("0",DEC2HEX(HEX2DEC(MID($L$1,3,3))+18)),DEC2HEX(HEX2DEC(MID($L$1,3,3))+18))</f>
        <v>43A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/>
      <c r="G25" s="72"/>
      <c r="H25" s="66"/>
      <c r="I25" s="65"/>
      <c r="J25" s="66"/>
      <c r="K25" s="72" t="s">
        <v>478</v>
      </c>
      <c r="L25" s="73" t="s">
        <v>464</v>
      </c>
      <c r="M25" s="70" t="s">
        <v>7</v>
      </c>
      <c r="N25" s="74" t="s">
        <v>36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63" t="str">
        <f>IF(MID($L$1,3,1)="0",CONCATENATE("0",DEC2HEX(HEX2DEC(MID($L$1,3,3))+19)),DEC2HEX(HEX2DEC(MID($L$1,3,3))+19))</f>
        <v>43B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/>
      <c r="G26" s="72"/>
      <c r="H26" s="66"/>
      <c r="I26" s="65"/>
      <c r="J26" s="66"/>
      <c r="K26" s="72" t="s">
        <v>478</v>
      </c>
      <c r="L26" s="73" t="s">
        <v>464</v>
      </c>
      <c r="M26" s="70" t="s">
        <v>7</v>
      </c>
      <c r="N26" s="74" t="s">
        <v>36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63" t="str">
        <f>IF(MID($L$1,3,1)="0",CONCATENATE("0",DEC2HEX(HEX2DEC(MID($L$1,3,3))+20)),DEC2HEX(HEX2DEC(MID($L$1,3,3))+20))</f>
        <v>43C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/>
      <c r="G27" s="72"/>
      <c r="H27" s="66"/>
      <c r="I27" s="65"/>
      <c r="J27" s="66"/>
      <c r="K27" s="72" t="s">
        <v>478</v>
      </c>
      <c r="L27" s="73" t="s">
        <v>464</v>
      </c>
      <c r="M27" s="70" t="s">
        <v>7</v>
      </c>
      <c r="N27" s="74" t="s">
        <v>36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63" t="str">
        <f>IF(MID($L$1,3,1)="0",CONCATENATE("0",DEC2HEX(HEX2DEC(MID($L$1,3,3))+21)),DEC2HEX(HEX2DEC(MID($L$1,3,3))+21))</f>
        <v>43D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/>
      <c r="G28" s="72"/>
      <c r="H28" s="66"/>
      <c r="I28" s="65"/>
      <c r="J28" s="66"/>
      <c r="K28" s="72" t="s">
        <v>478</v>
      </c>
      <c r="L28" s="73" t="s">
        <v>464</v>
      </c>
      <c r="M28" s="70" t="s">
        <v>7</v>
      </c>
      <c r="N28" s="74" t="s">
        <v>36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63" t="str">
        <f>IF(MID($L$1,3,1)="0",CONCATENATE("0",DEC2HEX(HEX2DEC(MID($L$1,3,3))+22)),DEC2HEX(HEX2DEC(MID($L$1,3,3))+22))</f>
        <v>43E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/>
      <c r="G29" s="72"/>
      <c r="H29" s="66"/>
      <c r="I29" s="65"/>
      <c r="J29" s="66"/>
      <c r="K29" s="72" t="s">
        <v>463</v>
      </c>
      <c r="L29" s="73" t="s">
        <v>464</v>
      </c>
      <c r="M29" s="70" t="s">
        <v>7</v>
      </c>
      <c r="N29" s="74" t="s">
        <v>36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5" thickBot="1" x14ac:dyDescent="0.35">
      <c r="A30" s="64" t="str">
        <f>IF(MID($L$1,3,1)="0",CONCATENATE("0",DEC2HEX(HEX2DEC(MID($L$1,3,3))+23)),DEC2HEX(HEX2DEC(MID($L$1,3,3))+23))</f>
        <v>43F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s="2" customFormat="1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s="2" customFormat="1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s="2" customFormat="1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s="2" customFormat="1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s="2" customFormat="1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s="2" customFormat="1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I14:I21 I5:I12 I23:I30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23:E30 E5:E12 E14:E21">
      <formula1>3</formula1>
      <formula2>3</formula2>
    </dataValidation>
    <dataValidation type="list" showErrorMessage="1" errorTitle="Next MIP Address" error="Empty field not allowed" sqref="B5 B23:B29 B14:B21">
      <formula1>"Next,Decode,Fetch"</formula1>
    </dataValidation>
    <dataValidation type="list" showInputMessage="1" showErrorMessage="1" sqref="K14:K21 K5:K12 K23:K30">
      <formula1>"R,W"</formula1>
    </dataValidation>
    <dataValidation type="list" showInputMessage="1" showErrorMessage="1" sqref="L14:L21 L5:L12 L23:L30">
      <formula1>"IO,MEM"</formula1>
    </dataValidation>
    <dataValidation type="list" allowBlank="1" showInputMessage="1" showErrorMessage="1" sqref="J14:J21 J5:J12 J23:J30">
      <formula1>"from DATA,from IP,from MAR,from MBR,from MDR,from RES,from [SEL],from SR"</formula1>
    </dataValidation>
    <dataValidation type="list" allowBlank="1" showInputMessage="1" showErrorMessage="1" sqref="H23:H30 H5:H12 H14:H21">
      <formula1>"ADD,AND,DEC,DIV,INC,MOD,MUL,NOT,OR,ROL,ROR,SHL,SHR,SUB,XOR"</formula1>
    </dataValidation>
    <dataValidation type="list" allowBlank="1" showInputMessage="1" showErrorMessage="1" sqref="C23:C30 C5:C12 C14:C21">
      <formula1>"Clear"</formula1>
    </dataValidation>
    <dataValidation type="list" allowBlank="1" showInputMessage="1" showErrorMessage="1" sqref="F23:F30 F5:F12 F14:F21">
      <formula1>"Affect"</formula1>
    </dataValidation>
    <dataValidation type="list" allowBlank="1" showInputMessage="1" showErrorMessage="1" sqref="G23:G30 G5:G12 G14:G21">
      <formula1>"S,O,Z,NS,NO,NZ"</formula1>
    </dataValidation>
    <dataValidation type="list" showInputMessage="1" showErrorMessage="1" sqref="D23:D30 D5:D12 D14:D21">
      <formula1>"Enable"</formula1>
    </dataValidation>
    <dataValidation type="list" allowBlank="1" showInputMessage="1" showErrorMessage="1" sqref="B30 B6:B12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232</v>
      </c>
      <c r="B1" s="95"/>
      <c r="C1" s="96"/>
      <c r="D1" s="95"/>
      <c r="E1" s="97" t="s">
        <v>29</v>
      </c>
      <c r="F1" s="96"/>
      <c r="G1" s="96" t="str">
        <f>'Decoder Table'!A39</f>
        <v>0xCC</v>
      </c>
      <c r="H1" s="96"/>
      <c r="I1" s="97" t="s">
        <v>471</v>
      </c>
      <c r="J1" s="96"/>
      <c r="K1" s="96"/>
      <c r="L1" s="96" t="str">
        <f>CONCATENATE("0x",'Decoder Table'!B39)</f>
        <v>0x2D0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2D0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2D1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71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2D2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72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2D3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2D4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2D5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2D6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2D7</v>
      </c>
      <c r="B12" s="72" t="s">
        <v>462</v>
      </c>
      <c r="C12" s="66" t="s">
        <v>476</v>
      </c>
      <c r="D12" s="66" t="s">
        <v>548</v>
      </c>
      <c r="E12" s="65" t="s">
        <v>5</v>
      </c>
      <c r="F12" s="66" t="s">
        <v>476</v>
      </c>
      <c r="G12" s="72"/>
      <c r="H12" s="66" t="s">
        <v>476</v>
      </c>
      <c r="I12" s="65" t="s">
        <v>306</v>
      </c>
      <c r="J12" s="66" t="s">
        <v>476</v>
      </c>
      <c r="K12" s="72" t="s">
        <v>463</v>
      </c>
      <c r="L12" s="73" t="s">
        <v>464</v>
      </c>
      <c r="M12" s="70" t="s">
        <v>498</v>
      </c>
      <c r="N12" s="75" t="s">
        <v>43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623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750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2D8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308</v>
      </c>
      <c r="K14" s="68" t="s">
        <v>463</v>
      </c>
      <c r="L14" s="69" t="s">
        <v>464</v>
      </c>
      <c r="M14" s="70" t="s">
        <v>499</v>
      </c>
      <c r="N14" s="76" t="s">
        <v>50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2D9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309</v>
      </c>
      <c r="K15" s="72" t="s">
        <v>478</v>
      </c>
      <c r="L15" s="73" t="s">
        <v>464</v>
      </c>
      <c r="M15" s="70" t="s">
        <v>503</v>
      </c>
      <c r="N15" s="77" t="s">
        <v>51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2DA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308</v>
      </c>
      <c r="K16" s="72" t="s">
        <v>478</v>
      </c>
      <c r="L16" s="73" t="s">
        <v>464</v>
      </c>
      <c r="M16" s="70" t="s">
        <v>519</v>
      </c>
      <c r="N16" s="77" t="s">
        <v>540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2DB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296</v>
      </c>
      <c r="I17" s="65" t="s">
        <v>315</v>
      </c>
      <c r="J17" s="66" t="s">
        <v>476</v>
      </c>
      <c r="K17" s="72" t="s">
        <v>478</v>
      </c>
      <c r="L17" s="73" t="s">
        <v>464</v>
      </c>
      <c r="M17" s="70" t="s">
        <v>15</v>
      </c>
      <c r="N17" s="77" t="s">
        <v>44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2DC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307</v>
      </c>
      <c r="J18" s="66" t="s">
        <v>316</v>
      </c>
      <c r="K18" s="72" t="s">
        <v>478</v>
      </c>
      <c r="L18" s="73" t="s">
        <v>464</v>
      </c>
      <c r="M18" s="70" t="s">
        <v>495</v>
      </c>
      <c r="N18" s="77" t="s">
        <v>45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2DD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478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2DE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2DF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628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751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2E0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312</v>
      </c>
      <c r="J23" s="65" t="s">
        <v>311</v>
      </c>
      <c r="K23" s="68" t="s">
        <v>463</v>
      </c>
      <c r="L23" s="69" t="s">
        <v>464</v>
      </c>
      <c r="M23" s="70" t="s">
        <v>504</v>
      </c>
      <c r="N23" s="76" t="s">
        <v>73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2E1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313</v>
      </c>
      <c r="J24" s="66" t="s">
        <v>487</v>
      </c>
      <c r="K24" s="72" t="s">
        <v>463</v>
      </c>
      <c r="L24" s="73" t="s">
        <v>464</v>
      </c>
      <c r="M24" s="70" t="s">
        <v>14</v>
      </c>
      <c r="N24" s="77" t="s">
        <v>327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2E2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618</v>
      </c>
      <c r="J25" s="66" t="s">
        <v>314</v>
      </c>
      <c r="K25" s="72" t="s">
        <v>463</v>
      </c>
      <c r="L25" s="73" t="s">
        <v>464</v>
      </c>
      <c r="M25" s="70" t="s">
        <v>505</v>
      </c>
      <c r="N25" s="77" t="s">
        <v>77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2E3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476</v>
      </c>
      <c r="J26" s="66" t="s">
        <v>476</v>
      </c>
      <c r="K26" s="72" t="s">
        <v>463</v>
      </c>
      <c r="L26" s="73" t="s">
        <v>464</v>
      </c>
      <c r="M26" s="70" t="s">
        <v>7</v>
      </c>
      <c r="N26" s="77" t="s">
        <v>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2E4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2E5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2E6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2E7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23:J30 J14:J21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68</v>
      </c>
      <c r="B1" s="95"/>
      <c r="C1" s="96"/>
      <c r="D1" s="95"/>
      <c r="E1" s="97" t="s">
        <v>29</v>
      </c>
      <c r="F1" s="96"/>
      <c r="G1" s="96" t="str">
        <f>'Decoder Table'!A40</f>
        <v>0xCD</v>
      </c>
      <c r="H1" s="96"/>
      <c r="I1" s="97" t="s">
        <v>471</v>
      </c>
      <c r="J1" s="96"/>
      <c r="K1" s="96"/>
      <c r="L1" s="96" t="str">
        <f>CONCATENATE("0x",'Decoder Table'!B40)</f>
        <v>0x2E8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12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13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2E8</v>
      </c>
      <c r="B5" s="68" t="s">
        <v>462</v>
      </c>
      <c r="C5" s="65" t="s">
        <v>476</v>
      </c>
      <c r="D5" s="65" t="s">
        <v>548</v>
      </c>
      <c r="E5" s="65" t="s">
        <v>5</v>
      </c>
      <c r="F5" s="65" t="s">
        <v>476</v>
      </c>
      <c r="G5" s="68"/>
      <c r="H5" s="66" t="s">
        <v>476</v>
      </c>
      <c r="I5" s="65" t="s">
        <v>306</v>
      </c>
      <c r="J5" s="65" t="s">
        <v>476</v>
      </c>
      <c r="K5" s="68" t="s">
        <v>463</v>
      </c>
      <c r="L5" s="69" t="s">
        <v>464</v>
      </c>
      <c r="M5" s="70" t="s">
        <v>498</v>
      </c>
      <c r="N5" s="71" t="s">
        <v>43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2E9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488</v>
      </c>
      <c r="J6" s="66" t="s">
        <v>308</v>
      </c>
      <c r="K6" s="72" t="s">
        <v>463</v>
      </c>
      <c r="L6" s="73" t="s">
        <v>464</v>
      </c>
      <c r="M6" s="70" t="s">
        <v>519</v>
      </c>
      <c r="N6" s="74" t="s">
        <v>540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2EA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297</v>
      </c>
      <c r="I7" s="65" t="s">
        <v>315</v>
      </c>
      <c r="J7" s="66" t="s">
        <v>476</v>
      </c>
      <c r="K7" s="72" t="s">
        <v>463</v>
      </c>
      <c r="L7" s="73" t="s">
        <v>464</v>
      </c>
      <c r="M7" s="70" t="s">
        <v>6</v>
      </c>
      <c r="N7" s="74" t="s">
        <v>62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2EB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307</v>
      </c>
      <c r="J8" s="66" t="s">
        <v>316</v>
      </c>
      <c r="K8" s="72" t="s">
        <v>463</v>
      </c>
      <c r="L8" s="73" t="s">
        <v>464</v>
      </c>
      <c r="M8" s="70" t="s">
        <v>495</v>
      </c>
      <c r="N8" s="74" t="s">
        <v>45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2EC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312</v>
      </c>
      <c r="J9" s="65" t="s">
        <v>308</v>
      </c>
      <c r="K9" s="72" t="s">
        <v>463</v>
      </c>
      <c r="L9" s="73" t="s">
        <v>464</v>
      </c>
      <c r="M9" s="70" t="s">
        <v>499</v>
      </c>
      <c r="N9" s="74" t="s">
        <v>50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2ED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313</v>
      </c>
      <c r="J10" s="66" t="s">
        <v>487</v>
      </c>
      <c r="K10" s="72" t="s">
        <v>463</v>
      </c>
      <c r="L10" s="73" t="s">
        <v>464</v>
      </c>
      <c r="M10" s="70" t="s">
        <v>14</v>
      </c>
      <c r="N10" s="74" t="s">
        <v>59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2EE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314</v>
      </c>
      <c r="K11" s="72" t="s">
        <v>463</v>
      </c>
      <c r="L11" s="73" t="s">
        <v>464</v>
      </c>
      <c r="M11" s="70" t="s">
        <v>502</v>
      </c>
      <c r="N11" s="74" t="s">
        <v>60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2EF</v>
      </c>
      <c r="B12" s="79" t="s">
        <v>35</v>
      </c>
      <c r="C12" s="67" t="s">
        <v>476</v>
      </c>
      <c r="D12" s="67" t="s">
        <v>476</v>
      </c>
      <c r="E12" s="99" t="s">
        <v>476</v>
      </c>
      <c r="F12" s="67" t="s">
        <v>476</v>
      </c>
      <c r="G12" s="79"/>
      <c r="H12" s="67" t="s">
        <v>476</v>
      </c>
      <c r="I12" s="99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4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96</v>
      </c>
      <c r="B1" s="95"/>
      <c r="C1" s="96"/>
      <c r="D1" s="95"/>
      <c r="E1" s="97" t="s">
        <v>29</v>
      </c>
      <c r="F1" s="96"/>
      <c r="G1" s="96" t="str">
        <f>'Decoder Table'!A30</f>
        <v>0xC0</v>
      </c>
      <c r="H1" s="96"/>
      <c r="I1" s="97" t="s">
        <v>471</v>
      </c>
      <c r="J1" s="96"/>
      <c r="K1" s="96"/>
      <c r="L1" s="96" t="str">
        <f>CONCATENATE("0x",'Decoder Table'!B30)</f>
        <v>0x218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218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219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21A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21B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21C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296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21D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21E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21F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220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488</v>
      </c>
      <c r="J14" s="65" t="s">
        <v>311</v>
      </c>
      <c r="K14" s="68" t="s">
        <v>463</v>
      </c>
      <c r="L14" s="69" t="s">
        <v>464</v>
      </c>
      <c r="M14" s="70" t="s">
        <v>530</v>
      </c>
      <c r="N14" s="76" t="s">
        <v>535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221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489</v>
      </c>
      <c r="J15" s="66" t="s">
        <v>309</v>
      </c>
      <c r="K15" s="72" t="s">
        <v>463</v>
      </c>
      <c r="L15" s="73" t="s">
        <v>464</v>
      </c>
      <c r="M15" s="70" t="s">
        <v>536</v>
      </c>
      <c r="N15" s="77" t="s">
        <v>537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222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291</v>
      </c>
      <c r="I16" s="65" t="s">
        <v>315</v>
      </c>
      <c r="J16" s="66" t="s">
        <v>476</v>
      </c>
      <c r="K16" s="72" t="s">
        <v>463</v>
      </c>
      <c r="L16" s="73" t="s">
        <v>464</v>
      </c>
      <c r="M16" s="70" t="s">
        <v>18</v>
      </c>
      <c r="N16" s="77" t="s">
        <v>88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223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618</v>
      </c>
      <c r="J17" s="66" t="s">
        <v>316</v>
      </c>
      <c r="K17" s="72" t="s">
        <v>463</v>
      </c>
      <c r="L17" s="73" t="s">
        <v>464</v>
      </c>
      <c r="M17" s="70" t="s">
        <v>492</v>
      </c>
      <c r="N17" s="77" t="s">
        <v>42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224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476</v>
      </c>
      <c r="J18" s="66" t="s">
        <v>476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225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226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227</v>
      </c>
      <c r="B21" s="79" t="s">
        <v>35</v>
      </c>
      <c r="C21" s="67" t="s">
        <v>476</v>
      </c>
      <c r="D21" s="67" t="s">
        <v>476</v>
      </c>
      <c r="E21" s="67" t="s">
        <v>476</v>
      </c>
      <c r="F21" s="67" t="s">
        <v>476</v>
      </c>
      <c r="G21" s="79"/>
      <c r="H21" s="67" t="s">
        <v>476</v>
      </c>
      <c r="I21" s="67" t="s">
        <v>476</v>
      </c>
      <c r="J21" s="67" t="s">
        <v>476</v>
      </c>
      <c r="K21" s="79" t="s">
        <v>463</v>
      </c>
      <c r="L21" s="80" t="s">
        <v>464</v>
      </c>
      <c r="M21" s="100" t="s">
        <v>493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AK29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638</v>
      </c>
      <c r="B1" s="95"/>
      <c r="C1" s="96"/>
      <c r="D1" s="95"/>
      <c r="E1" s="97" t="s">
        <v>29</v>
      </c>
      <c r="F1" s="96"/>
      <c r="G1" s="96" t="str">
        <f>'Decoder Table'!A60</f>
        <v>0xC7</v>
      </c>
      <c r="H1" s="96"/>
      <c r="I1" s="97" t="s">
        <v>471</v>
      </c>
      <c r="J1" s="96"/>
      <c r="K1" s="96"/>
      <c r="L1" s="96" t="str">
        <f>CONCATENATE("0x",'Decoder Table'!B60)</f>
        <v>0x440</v>
      </c>
      <c r="M1" s="96"/>
      <c r="N1" s="98" t="s">
        <v>802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472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440</v>
      </c>
      <c r="B5" s="68" t="s">
        <v>462</v>
      </c>
      <c r="C5" s="65" t="s">
        <v>476</v>
      </c>
      <c r="D5" s="65"/>
      <c r="E5" s="65"/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441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636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442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/>
      <c r="I7" s="65" t="s">
        <v>618</v>
      </c>
      <c r="J7" s="66" t="s">
        <v>314</v>
      </c>
      <c r="K7" s="72" t="s">
        <v>463</v>
      </c>
      <c r="L7" s="73" t="s">
        <v>464</v>
      </c>
      <c r="M7" s="70" t="s">
        <v>505</v>
      </c>
      <c r="N7" s="74" t="s">
        <v>42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443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/>
      <c r="J8" s="66"/>
      <c r="K8" s="72" t="s">
        <v>463</v>
      </c>
      <c r="L8" s="73" t="s">
        <v>464</v>
      </c>
      <c r="M8" s="70" t="s">
        <v>7</v>
      </c>
      <c r="N8" s="77" t="s">
        <v>36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444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/>
      <c r="J9" s="65"/>
      <c r="K9" s="72" t="s">
        <v>463</v>
      </c>
      <c r="L9" s="73" t="s">
        <v>464</v>
      </c>
      <c r="M9" s="70" t="s">
        <v>7</v>
      </c>
      <c r="N9" s="77" t="s">
        <v>36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445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/>
      <c r="J10" s="66"/>
      <c r="K10" s="72" t="s">
        <v>463</v>
      </c>
      <c r="L10" s="73" t="s">
        <v>464</v>
      </c>
      <c r="M10" s="70" t="s">
        <v>7</v>
      </c>
      <c r="N10" s="77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446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/>
      <c r="J11" s="66"/>
      <c r="K11" s="72" t="s">
        <v>463</v>
      </c>
      <c r="L11" s="73" t="s">
        <v>464</v>
      </c>
      <c r="M11" s="70" t="s">
        <v>7</v>
      </c>
      <c r="N11" s="77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447</v>
      </c>
      <c r="B12" s="79" t="s">
        <v>35</v>
      </c>
      <c r="C12" s="67" t="s">
        <v>476</v>
      </c>
      <c r="D12" s="67" t="s">
        <v>476</v>
      </c>
      <c r="E12" s="99" t="s">
        <v>476</v>
      </c>
      <c r="F12" s="67" t="s">
        <v>476</v>
      </c>
      <c r="G12" s="79"/>
      <c r="H12" s="67" t="s">
        <v>476</v>
      </c>
      <c r="I12" s="99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I5:I12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showErrorMessage="1" errorTitle="Next MIP Address" error="Empty field not allowed" sqref="B5">
      <formula1>"Next,Decode,Fetch"</formula1>
    </dataValidation>
    <dataValidation type="list" showInputMessage="1" showErrorMessage="1" sqref="K5:K12">
      <formula1>"R,W"</formula1>
    </dataValidation>
    <dataValidation type="list" showInputMessage="1" showErrorMessage="1" sqref="L5:L12">
      <formula1>"IO,MEM"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G5:G12">
      <formula1>"S,O,Z,NS,NO,NZ"</formula1>
    </dataValidation>
    <dataValidation type="list" showInputMessage="1" showErrorMessage="1" sqref="D5:D12">
      <formula1>"Enable"</formula1>
    </dataValidation>
    <dataValidation type="list" allowBlank="1" showInputMessage="1" showErrorMessage="1" sqref="B6:B12">
      <formula1>"Next,Decode,Fetch"</formula1>
    </dataValidation>
  </dataValidation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5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91</v>
      </c>
      <c r="B1" s="95"/>
      <c r="C1" s="96"/>
      <c r="D1" s="95"/>
      <c r="E1" s="97" t="s">
        <v>29</v>
      </c>
      <c r="F1" s="96"/>
      <c r="G1" s="96" t="str">
        <f>'Decoder Table'!A36</f>
        <v>0xC6</v>
      </c>
      <c r="H1" s="96"/>
      <c r="I1" s="97" t="s">
        <v>471</v>
      </c>
      <c r="J1" s="96"/>
      <c r="K1" s="96"/>
      <c r="L1" s="96" t="str">
        <f>CONCATENATE("0x",'Decoder Table'!B36)</f>
        <v>0x2A0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2A0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2A1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2A2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2A3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2A4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296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2A5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2A6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2A7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755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2A8</v>
      </c>
      <c r="B14" s="68" t="s">
        <v>462</v>
      </c>
      <c r="C14" s="65" t="s">
        <v>476</v>
      </c>
      <c r="D14" s="65" t="s">
        <v>476</v>
      </c>
      <c r="E14" s="65" t="s">
        <v>455</v>
      </c>
      <c r="F14" s="65" t="s">
        <v>476</v>
      </c>
      <c r="G14" s="68" t="s">
        <v>485</v>
      </c>
      <c r="H14" s="66" t="s">
        <v>476</v>
      </c>
      <c r="I14" s="65" t="s">
        <v>476</v>
      </c>
      <c r="J14" s="65" t="s">
        <v>476</v>
      </c>
      <c r="K14" s="68" t="s">
        <v>463</v>
      </c>
      <c r="L14" s="69" t="s">
        <v>464</v>
      </c>
      <c r="M14" s="70" t="s">
        <v>92</v>
      </c>
      <c r="N14" s="76" t="s">
        <v>93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2A9</v>
      </c>
      <c r="B15" s="68" t="s">
        <v>462</v>
      </c>
      <c r="C15" s="66" t="s">
        <v>476</v>
      </c>
      <c r="D15" s="66" t="s">
        <v>548</v>
      </c>
      <c r="E15" s="65" t="s">
        <v>4</v>
      </c>
      <c r="F15" s="66" t="s">
        <v>476</v>
      </c>
      <c r="G15" s="72"/>
      <c r="H15" s="66" t="s">
        <v>476</v>
      </c>
      <c r="I15" s="65" t="s">
        <v>488</v>
      </c>
      <c r="J15" s="66" t="s">
        <v>476</v>
      </c>
      <c r="K15" s="72" t="s">
        <v>463</v>
      </c>
      <c r="L15" s="73" t="s">
        <v>464</v>
      </c>
      <c r="M15" s="70" t="s">
        <v>538</v>
      </c>
      <c r="N15" s="77" t="s">
        <v>539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2AA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536</v>
      </c>
      <c r="N16" s="77" t="s">
        <v>537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2AB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291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2AC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2AD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2AE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2AF</v>
      </c>
      <c r="B21" s="68" t="s">
        <v>35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493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754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756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2B0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476</v>
      </c>
      <c r="J23" s="65" t="s">
        <v>476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2B1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476</v>
      </c>
      <c r="J24" s="66" t="s">
        <v>476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2B2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476</v>
      </c>
      <c r="J25" s="66" t="s">
        <v>476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2B3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488</v>
      </c>
      <c r="J26" s="66" t="s">
        <v>311</v>
      </c>
      <c r="K26" s="72" t="s">
        <v>463</v>
      </c>
      <c r="L26" s="73" t="s">
        <v>464</v>
      </c>
      <c r="M26" s="70" t="s">
        <v>530</v>
      </c>
      <c r="N26" s="77" t="s">
        <v>535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2B4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489</v>
      </c>
      <c r="J27" s="66" t="s">
        <v>309</v>
      </c>
      <c r="K27" s="72" t="s">
        <v>463</v>
      </c>
      <c r="L27" s="73" t="s">
        <v>464</v>
      </c>
      <c r="M27" s="70" t="s">
        <v>536</v>
      </c>
      <c r="N27" s="77" t="s">
        <v>537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2B5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291</v>
      </c>
      <c r="I28" s="65" t="s">
        <v>315</v>
      </c>
      <c r="J28" s="66" t="s">
        <v>476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2B6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618</v>
      </c>
      <c r="J29" s="66" t="s">
        <v>316</v>
      </c>
      <c r="K29" s="72" t="s">
        <v>463</v>
      </c>
      <c r="L29" s="73" t="s">
        <v>464</v>
      </c>
      <c r="M29" s="70" t="s">
        <v>492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2B7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6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94</v>
      </c>
      <c r="B1" s="95"/>
      <c r="C1" s="96"/>
      <c r="D1" s="95"/>
      <c r="E1" s="97" t="s">
        <v>29</v>
      </c>
      <c r="F1" s="96"/>
      <c r="G1" s="96" t="str">
        <f>'Decoder Table'!A34</f>
        <v>0xC4</v>
      </c>
      <c r="H1" s="96"/>
      <c r="I1" s="97" t="s">
        <v>471</v>
      </c>
      <c r="J1" s="96"/>
      <c r="K1" s="96"/>
      <c r="L1" s="96" t="str">
        <f>CONCATENATE("0x",'Decoder Table'!B34)</f>
        <v>0x270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270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271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272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273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274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296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275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276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277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755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278</v>
      </c>
      <c r="B14" s="68" t="s">
        <v>462</v>
      </c>
      <c r="C14" s="65" t="s">
        <v>476</v>
      </c>
      <c r="D14" s="65" t="s">
        <v>476</v>
      </c>
      <c r="E14" s="65" t="s">
        <v>455</v>
      </c>
      <c r="F14" s="65" t="s">
        <v>476</v>
      </c>
      <c r="G14" s="68" t="s">
        <v>483</v>
      </c>
      <c r="H14" s="66" t="s">
        <v>476</v>
      </c>
      <c r="I14" s="65" t="s">
        <v>476</v>
      </c>
      <c r="J14" s="65" t="s">
        <v>476</v>
      </c>
      <c r="K14" s="68" t="s">
        <v>463</v>
      </c>
      <c r="L14" s="69" t="s">
        <v>464</v>
      </c>
      <c r="M14" s="70" t="s">
        <v>440</v>
      </c>
      <c r="N14" s="76" t="s">
        <v>441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279</v>
      </c>
      <c r="B15" s="68" t="s">
        <v>462</v>
      </c>
      <c r="C15" s="66" t="s">
        <v>476</v>
      </c>
      <c r="D15" s="66" t="s">
        <v>548</v>
      </c>
      <c r="E15" s="65" t="s">
        <v>4</v>
      </c>
      <c r="F15" s="66" t="s">
        <v>476</v>
      </c>
      <c r="G15" s="72"/>
      <c r="H15" s="66" t="s">
        <v>476</v>
      </c>
      <c r="I15" s="65" t="s">
        <v>488</v>
      </c>
      <c r="J15" s="66" t="s">
        <v>476</v>
      </c>
      <c r="K15" s="72" t="s">
        <v>463</v>
      </c>
      <c r="L15" s="73" t="s">
        <v>464</v>
      </c>
      <c r="M15" s="70" t="s">
        <v>538</v>
      </c>
      <c r="N15" s="77" t="s">
        <v>539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27A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536</v>
      </c>
      <c r="N16" s="77" t="s">
        <v>537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27B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291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27C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27D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27E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27F</v>
      </c>
      <c r="B21" s="68" t="s">
        <v>35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493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754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756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280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476</v>
      </c>
      <c r="J23" s="65" t="s">
        <v>476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281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476</v>
      </c>
      <c r="J24" s="66" t="s">
        <v>476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282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476</v>
      </c>
      <c r="J25" s="66" t="s">
        <v>476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283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488</v>
      </c>
      <c r="J26" s="66" t="s">
        <v>311</v>
      </c>
      <c r="K26" s="72" t="s">
        <v>463</v>
      </c>
      <c r="L26" s="73" t="s">
        <v>464</v>
      </c>
      <c r="M26" s="70" t="s">
        <v>530</v>
      </c>
      <c r="N26" s="77" t="s">
        <v>535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284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489</v>
      </c>
      <c r="J27" s="66" t="s">
        <v>309</v>
      </c>
      <c r="K27" s="72" t="s">
        <v>463</v>
      </c>
      <c r="L27" s="73" t="s">
        <v>464</v>
      </c>
      <c r="M27" s="70" t="s">
        <v>536</v>
      </c>
      <c r="N27" s="77" t="s">
        <v>537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285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291</v>
      </c>
      <c r="I28" s="65" t="s">
        <v>315</v>
      </c>
      <c r="J28" s="66" t="s">
        <v>476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286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618</v>
      </c>
      <c r="J29" s="66" t="s">
        <v>316</v>
      </c>
      <c r="K29" s="72" t="s">
        <v>463</v>
      </c>
      <c r="L29" s="73" t="s">
        <v>464</v>
      </c>
      <c r="M29" s="70" t="s">
        <v>492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287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7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95</v>
      </c>
      <c r="B1" s="95"/>
      <c r="C1" s="96"/>
      <c r="D1" s="95"/>
      <c r="E1" s="97" t="s">
        <v>29</v>
      </c>
      <c r="F1" s="96"/>
      <c r="G1" s="96" t="str">
        <f>'Decoder Table'!A32</f>
        <v>0xC2</v>
      </c>
      <c r="H1" s="96"/>
      <c r="I1" s="97" t="s">
        <v>471</v>
      </c>
      <c r="J1" s="96"/>
      <c r="K1" s="96"/>
      <c r="L1" s="96" t="str">
        <f>CONCATENATE("0x",'Decoder Table'!B32)</f>
        <v>0x240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240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241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242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243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244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296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245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246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247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755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248</v>
      </c>
      <c r="B14" s="68" t="s">
        <v>462</v>
      </c>
      <c r="C14" s="65" t="s">
        <v>476</v>
      </c>
      <c r="D14" s="65" t="s">
        <v>476</v>
      </c>
      <c r="E14" s="65" t="s">
        <v>455</v>
      </c>
      <c r="F14" s="65" t="s">
        <v>476</v>
      </c>
      <c r="G14" s="68" t="s">
        <v>481</v>
      </c>
      <c r="H14" s="66" t="s">
        <v>476</v>
      </c>
      <c r="I14" s="65" t="s">
        <v>476</v>
      </c>
      <c r="J14" s="65" t="s">
        <v>476</v>
      </c>
      <c r="K14" s="68" t="s">
        <v>463</v>
      </c>
      <c r="L14" s="69" t="s">
        <v>464</v>
      </c>
      <c r="M14" s="70" t="s">
        <v>442</v>
      </c>
      <c r="N14" s="76" t="s">
        <v>443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249</v>
      </c>
      <c r="B15" s="68" t="s">
        <v>462</v>
      </c>
      <c r="C15" s="66" t="s">
        <v>476</v>
      </c>
      <c r="D15" s="66" t="s">
        <v>548</v>
      </c>
      <c r="E15" s="65" t="s">
        <v>4</v>
      </c>
      <c r="F15" s="66" t="s">
        <v>476</v>
      </c>
      <c r="G15" s="72"/>
      <c r="H15" s="66" t="s">
        <v>476</v>
      </c>
      <c r="I15" s="65" t="s">
        <v>488</v>
      </c>
      <c r="J15" s="66" t="s">
        <v>476</v>
      </c>
      <c r="K15" s="72" t="s">
        <v>463</v>
      </c>
      <c r="L15" s="73" t="s">
        <v>464</v>
      </c>
      <c r="M15" s="70" t="s">
        <v>538</v>
      </c>
      <c r="N15" s="77" t="s">
        <v>539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24A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536</v>
      </c>
      <c r="N16" s="77" t="s">
        <v>537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24B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291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24C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24D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24E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24F</v>
      </c>
      <c r="B21" s="68" t="s">
        <v>35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493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754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756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250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476</v>
      </c>
      <c r="J23" s="65" t="s">
        <v>476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251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476</v>
      </c>
      <c r="J24" s="66" t="s">
        <v>476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252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476</v>
      </c>
      <c r="J25" s="66" t="s">
        <v>476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253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488</v>
      </c>
      <c r="J26" s="66" t="s">
        <v>311</v>
      </c>
      <c r="K26" s="72" t="s">
        <v>463</v>
      </c>
      <c r="L26" s="73" t="s">
        <v>464</v>
      </c>
      <c r="M26" s="70" t="s">
        <v>530</v>
      </c>
      <c r="N26" s="77" t="s">
        <v>535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254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489</v>
      </c>
      <c r="J27" s="66" t="s">
        <v>309</v>
      </c>
      <c r="K27" s="72" t="s">
        <v>463</v>
      </c>
      <c r="L27" s="73" t="s">
        <v>464</v>
      </c>
      <c r="M27" s="70" t="s">
        <v>536</v>
      </c>
      <c r="N27" s="77" t="s">
        <v>537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255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291</v>
      </c>
      <c r="I28" s="65" t="s">
        <v>315</v>
      </c>
      <c r="J28" s="66" t="s">
        <v>476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256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618</v>
      </c>
      <c r="J29" s="66" t="s">
        <v>316</v>
      </c>
      <c r="K29" s="72" t="s">
        <v>463</v>
      </c>
      <c r="L29" s="73" t="s">
        <v>464</v>
      </c>
      <c r="M29" s="70" t="s">
        <v>492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257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8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89</v>
      </c>
      <c r="B1" s="95"/>
      <c r="C1" s="96"/>
      <c r="D1" s="95"/>
      <c r="E1" s="97" t="s">
        <v>29</v>
      </c>
      <c r="F1" s="96"/>
      <c r="G1" s="96" t="str">
        <f>'Decoder Table'!A35</f>
        <v>0xC5</v>
      </c>
      <c r="H1" s="96"/>
      <c r="I1" s="97" t="s">
        <v>471</v>
      </c>
      <c r="J1" s="96"/>
      <c r="K1" s="96"/>
      <c r="L1" s="96" t="str">
        <f>CONCATENATE("0x",'Decoder Table'!B35)</f>
        <v>0x288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288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289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28A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28B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28C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296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28D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28E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28F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755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290</v>
      </c>
      <c r="B14" s="68" t="s">
        <v>462</v>
      </c>
      <c r="C14" s="65" t="s">
        <v>476</v>
      </c>
      <c r="D14" s="65" t="s">
        <v>476</v>
      </c>
      <c r="E14" s="65" t="s">
        <v>455</v>
      </c>
      <c r="F14" s="65" t="s">
        <v>476</v>
      </c>
      <c r="G14" s="68" t="s">
        <v>484</v>
      </c>
      <c r="H14" s="66" t="s">
        <v>476</v>
      </c>
      <c r="I14" s="65" t="s">
        <v>476</v>
      </c>
      <c r="J14" s="65" t="s">
        <v>476</v>
      </c>
      <c r="K14" s="68" t="s">
        <v>463</v>
      </c>
      <c r="L14" s="69" t="s">
        <v>464</v>
      </c>
      <c r="M14" s="70" t="s">
        <v>444</v>
      </c>
      <c r="N14" s="76" t="s">
        <v>445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291</v>
      </c>
      <c r="B15" s="68" t="s">
        <v>462</v>
      </c>
      <c r="C15" s="66" t="s">
        <v>476</v>
      </c>
      <c r="D15" s="66" t="s">
        <v>548</v>
      </c>
      <c r="E15" s="65" t="s">
        <v>4</v>
      </c>
      <c r="F15" s="66" t="s">
        <v>476</v>
      </c>
      <c r="G15" s="72"/>
      <c r="H15" s="66" t="s">
        <v>476</v>
      </c>
      <c r="I15" s="65" t="s">
        <v>488</v>
      </c>
      <c r="J15" s="66" t="s">
        <v>476</v>
      </c>
      <c r="K15" s="72" t="s">
        <v>463</v>
      </c>
      <c r="L15" s="73" t="s">
        <v>464</v>
      </c>
      <c r="M15" s="70" t="s">
        <v>538</v>
      </c>
      <c r="N15" s="77" t="s">
        <v>539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292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536</v>
      </c>
      <c r="N16" s="77" t="s">
        <v>537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293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291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294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295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296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297</v>
      </c>
      <c r="B21" s="68" t="s">
        <v>35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493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754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756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298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476</v>
      </c>
      <c r="J23" s="65" t="s">
        <v>476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299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476</v>
      </c>
      <c r="J24" s="66" t="s">
        <v>476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29A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476</v>
      </c>
      <c r="J25" s="66" t="s">
        <v>476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29B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488</v>
      </c>
      <c r="J26" s="66" t="s">
        <v>311</v>
      </c>
      <c r="K26" s="72" t="s">
        <v>463</v>
      </c>
      <c r="L26" s="73" t="s">
        <v>464</v>
      </c>
      <c r="M26" s="70" t="s">
        <v>530</v>
      </c>
      <c r="N26" s="77" t="s">
        <v>535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29C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489</v>
      </c>
      <c r="J27" s="66" t="s">
        <v>309</v>
      </c>
      <c r="K27" s="72" t="s">
        <v>463</v>
      </c>
      <c r="L27" s="73" t="s">
        <v>464</v>
      </c>
      <c r="M27" s="70" t="s">
        <v>536</v>
      </c>
      <c r="N27" s="77" t="s">
        <v>537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29D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291</v>
      </c>
      <c r="I28" s="65" t="s">
        <v>315</v>
      </c>
      <c r="J28" s="66" t="s">
        <v>476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29E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618</v>
      </c>
      <c r="J29" s="66" t="s">
        <v>316</v>
      </c>
      <c r="K29" s="72" t="s">
        <v>463</v>
      </c>
      <c r="L29" s="73" t="s">
        <v>464</v>
      </c>
      <c r="M29" s="70" t="s">
        <v>492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29F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90</v>
      </c>
      <c r="B1" s="95"/>
      <c r="C1" s="96"/>
      <c r="D1" s="95"/>
      <c r="E1" s="97" t="s">
        <v>29</v>
      </c>
      <c r="F1" s="96"/>
      <c r="G1" s="96" t="str">
        <f>'Decoder Table'!A33</f>
        <v>0xC3</v>
      </c>
      <c r="H1" s="96"/>
      <c r="I1" s="97" t="s">
        <v>471</v>
      </c>
      <c r="J1" s="96"/>
      <c r="K1" s="96"/>
      <c r="L1" s="96" t="str">
        <f>CONCATENATE("0x",'Decoder Table'!B33)</f>
        <v>0x258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258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259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25A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25B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25C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296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25D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25E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25F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755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260</v>
      </c>
      <c r="B14" s="68" t="s">
        <v>462</v>
      </c>
      <c r="C14" s="65" t="s">
        <v>476</v>
      </c>
      <c r="D14" s="65" t="s">
        <v>476</v>
      </c>
      <c r="E14" s="65" t="s">
        <v>455</v>
      </c>
      <c r="F14" s="65" t="s">
        <v>476</v>
      </c>
      <c r="G14" s="68" t="s">
        <v>482</v>
      </c>
      <c r="H14" s="66" t="s">
        <v>476</v>
      </c>
      <c r="I14" s="65" t="s">
        <v>476</v>
      </c>
      <c r="J14" s="65" t="s">
        <v>476</v>
      </c>
      <c r="K14" s="68" t="s">
        <v>463</v>
      </c>
      <c r="L14" s="69" t="s">
        <v>464</v>
      </c>
      <c r="M14" s="70" t="s">
        <v>446</v>
      </c>
      <c r="N14" s="76" t="s">
        <v>447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261</v>
      </c>
      <c r="B15" s="68" t="s">
        <v>462</v>
      </c>
      <c r="C15" s="66" t="s">
        <v>476</v>
      </c>
      <c r="D15" s="66" t="s">
        <v>548</v>
      </c>
      <c r="E15" s="65" t="s">
        <v>4</v>
      </c>
      <c r="F15" s="66" t="s">
        <v>476</v>
      </c>
      <c r="G15" s="72"/>
      <c r="H15" s="66" t="s">
        <v>476</v>
      </c>
      <c r="I15" s="65" t="s">
        <v>488</v>
      </c>
      <c r="J15" s="66" t="s">
        <v>476</v>
      </c>
      <c r="K15" s="72" t="s">
        <v>463</v>
      </c>
      <c r="L15" s="73" t="s">
        <v>464</v>
      </c>
      <c r="M15" s="70" t="s">
        <v>538</v>
      </c>
      <c r="N15" s="77" t="s">
        <v>539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262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536</v>
      </c>
      <c r="N16" s="77" t="s">
        <v>537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263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291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264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265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266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267</v>
      </c>
      <c r="B21" s="68" t="s">
        <v>35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493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754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756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268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476</v>
      </c>
      <c r="J23" s="65" t="s">
        <v>476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269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476</v>
      </c>
      <c r="J24" s="66" t="s">
        <v>476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26A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476</v>
      </c>
      <c r="J25" s="66" t="s">
        <v>476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26B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488</v>
      </c>
      <c r="J26" s="66" t="s">
        <v>311</v>
      </c>
      <c r="K26" s="72" t="s">
        <v>463</v>
      </c>
      <c r="L26" s="73" t="s">
        <v>464</v>
      </c>
      <c r="M26" s="70" t="s">
        <v>530</v>
      </c>
      <c r="N26" s="77" t="s">
        <v>535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26C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489</v>
      </c>
      <c r="J27" s="66" t="s">
        <v>309</v>
      </c>
      <c r="K27" s="72" t="s">
        <v>463</v>
      </c>
      <c r="L27" s="73" t="s">
        <v>464</v>
      </c>
      <c r="M27" s="70" t="s">
        <v>536</v>
      </c>
      <c r="N27" s="77" t="s">
        <v>537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26D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291</v>
      </c>
      <c r="I28" s="65" t="s">
        <v>315</v>
      </c>
      <c r="J28" s="66" t="s">
        <v>476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26E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618</v>
      </c>
      <c r="J29" s="66" t="s">
        <v>316</v>
      </c>
      <c r="K29" s="72" t="s">
        <v>463</v>
      </c>
      <c r="L29" s="73" t="s">
        <v>464</v>
      </c>
      <c r="M29" s="70" t="s">
        <v>492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26F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0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17</v>
      </c>
      <c r="B1" s="95"/>
      <c r="C1" s="96"/>
      <c r="D1" s="95"/>
      <c r="E1" s="97" t="s">
        <v>29</v>
      </c>
      <c r="F1" s="96"/>
      <c r="G1" s="96" t="str">
        <f>'Decoder Table'!A31</f>
        <v>0xC1</v>
      </c>
      <c r="H1" s="96"/>
      <c r="I1" s="97" t="s">
        <v>471</v>
      </c>
      <c r="J1" s="96"/>
      <c r="K1" s="96"/>
      <c r="L1" s="96" t="str">
        <f>CONCATENATE("0x",'Decoder Table'!B31)</f>
        <v>0x228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228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229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22A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22B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22C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296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22D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22E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22F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755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230</v>
      </c>
      <c r="B14" s="68" t="s">
        <v>462</v>
      </c>
      <c r="C14" s="65" t="s">
        <v>476</v>
      </c>
      <c r="D14" s="65" t="s">
        <v>476</v>
      </c>
      <c r="E14" s="65" t="s">
        <v>455</v>
      </c>
      <c r="F14" s="65" t="s">
        <v>476</v>
      </c>
      <c r="G14" s="68" t="s">
        <v>480</v>
      </c>
      <c r="H14" s="66" t="s">
        <v>476</v>
      </c>
      <c r="I14" s="65" t="s">
        <v>476</v>
      </c>
      <c r="J14" s="65" t="s">
        <v>476</v>
      </c>
      <c r="K14" s="68" t="s">
        <v>463</v>
      </c>
      <c r="L14" s="69" t="s">
        <v>464</v>
      </c>
      <c r="M14" s="70" t="s">
        <v>448</v>
      </c>
      <c r="N14" s="76" t="s">
        <v>449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231</v>
      </c>
      <c r="B15" s="68" t="s">
        <v>462</v>
      </c>
      <c r="C15" s="66" t="s">
        <v>476</v>
      </c>
      <c r="D15" s="66" t="s">
        <v>548</v>
      </c>
      <c r="E15" s="65" t="s">
        <v>4</v>
      </c>
      <c r="F15" s="66" t="s">
        <v>476</v>
      </c>
      <c r="G15" s="72"/>
      <c r="H15" s="66" t="s">
        <v>476</v>
      </c>
      <c r="I15" s="65" t="s">
        <v>488</v>
      </c>
      <c r="J15" s="66" t="s">
        <v>476</v>
      </c>
      <c r="K15" s="72" t="s">
        <v>463</v>
      </c>
      <c r="L15" s="73" t="s">
        <v>464</v>
      </c>
      <c r="M15" s="70" t="s">
        <v>538</v>
      </c>
      <c r="N15" s="77" t="s">
        <v>539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232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536</v>
      </c>
      <c r="N16" s="77" t="s">
        <v>537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233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291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234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235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236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237</v>
      </c>
      <c r="B21" s="68" t="s">
        <v>35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493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754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756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238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476</v>
      </c>
      <c r="J23" s="65" t="s">
        <v>476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239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476</v>
      </c>
      <c r="J24" s="66" t="s">
        <v>476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23A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476</v>
      </c>
      <c r="J25" s="66" t="s">
        <v>476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23B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488</v>
      </c>
      <c r="J26" s="66" t="s">
        <v>311</v>
      </c>
      <c r="K26" s="72" t="s">
        <v>463</v>
      </c>
      <c r="L26" s="73" t="s">
        <v>464</v>
      </c>
      <c r="M26" s="70" t="s">
        <v>530</v>
      </c>
      <c r="N26" s="77" t="s">
        <v>535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23C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489</v>
      </c>
      <c r="J27" s="66" t="s">
        <v>309</v>
      </c>
      <c r="K27" s="72" t="s">
        <v>463</v>
      </c>
      <c r="L27" s="73" t="s">
        <v>464</v>
      </c>
      <c r="M27" s="70" t="s">
        <v>536</v>
      </c>
      <c r="N27" s="77" t="s">
        <v>537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23D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291</v>
      </c>
      <c r="I28" s="65" t="s">
        <v>315</v>
      </c>
      <c r="J28" s="66" t="s">
        <v>476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23E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618</v>
      </c>
      <c r="J29" s="66" t="s">
        <v>316</v>
      </c>
      <c r="K29" s="72" t="s">
        <v>463</v>
      </c>
      <c r="L29" s="73" t="s">
        <v>464</v>
      </c>
      <c r="M29" s="70" t="s">
        <v>492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23F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1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124</v>
      </c>
      <c r="B1" s="95"/>
      <c r="C1" s="96"/>
      <c r="D1" s="95"/>
      <c r="E1" s="97" t="s">
        <v>29</v>
      </c>
      <c r="F1" s="96"/>
      <c r="G1" s="96" t="str">
        <f>'Decoder Table'!A26</f>
        <v>0xB6</v>
      </c>
      <c r="H1" s="96"/>
      <c r="I1" s="97" t="s">
        <v>471</v>
      </c>
      <c r="J1" s="96"/>
      <c r="K1" s="96"/>
      <c r="L1" s="96" t="str">
        <f>CONCATENATE("0x",'Decoder Table'!B26)</f>
        <v>0x1B8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1B8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1B9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1BA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1BB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1BC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1BD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1BE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1BF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1C0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1C1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1C2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1C3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1C4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1C5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1C6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1C7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1C8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489</v>
      </c>
      <c r="J23" s="65" t="s">
        <v>311</v>
      </c>
      <c r="K23" s="68" t="s">
        <v>463</v>
      </c>
      <c r="L23" s="69" t="s">
        <v>464</v>
      </c>
      <c r="M23" s="70" t="s">
        <v>533</v>
      </c>
      <c r="N23" s="76" t="s">
        <v>534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1C9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488</v>
      </c>
      <c r="J24" s="66" t="s">
        <v>308</v>
      </c>
      <c r="K24" s="72" t="s">
        <v>463</v>
      </c>
      <c r="L24" s="73" t="s">
        <v>464</v>
      </c>
      <c r="M24" s="70" t="s">
        <v>519</v>
      </c>
      <c r="N24" s="77" t="s">
        <v>520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1CA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479</v>
      </c>
      <c r="G25" s="72"/>
      <c r="H25" s="66" t="s">
        <v>295</v>
      </c>
      <c r="I25" s="65" t="s">
        <v>315</v>
      </c>
      <c r="J25" s="66" t="s">
        <v>476</v>
      </c>
      <c r="K25" s="72" t="s">
        <v>463</v>
      </c>
      <c r="L25" s="73" t="s">
        <v>464</v>
      </c>
      <c r="M25" s="70" t="s">
        <v>126</v>
      </c>
      <c r="N25" s="77" t="s">
        <v>125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1CB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495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1CC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1CD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1CE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1CF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2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147</v>
      </c>
      <c r="B1" s="95"/>
      <c r="C1" s="96"/>
      <c r="D1" s="95"/>
      <c r="E1" s="97" t="s">
        <v>29</v>
      </c>
      <c r="F1" s="96"/>
      <c r="G1" s="96" t="str">
        <f>'Decoder Table'!A17</f>
        <v>0xA6</v>
      </c>
      <c r="H1" s="96"/>
      <c r="I1" s="97" t="s">
        <v>471</v>
      </c>
      <c r="J1" s="96"/>
      <c r="K1" s="96"/>
      <c r="L1" s="96" t="str">
        <f>CONCATENATE("0x",'Decoder Table'!B17)</f>
        <v>0x0E8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0E8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0E9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0EA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0EB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0EC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0ED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0EE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0EF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0F0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0F1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0F2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0F3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0F4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0F5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0F6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0F7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0F8</v>
      </c>
      <c r="B23" s="243" t="s">
        <v>462</v>
      </c>
      <c r="C23" s="240" t="s">
        <v>476</v>
      </c>
      <c r="D23" s="240" t="s">
        <v>476</v>
      </c>
      <c r="E23" s="240" t="s">
        <v>476</v>
      </c>
      <c r="F23" s="240" t="s">
        <v>476</v>
      </c>
      <c r="G23" s="243"/>
      <c r="H23" s="241" t="s">
        <v>476</v>
      </c>
      <c r="I23" s="240" t="s">
        <v>306</v>
      </c>
      <c r="J23" s="240" t="s">
        <v>314</v>
      </c>
      <c r="K23" s="243" t="s">
        <v>463</v>
      </c>
      <c r="L23" s="244" t="s">
        <v>464</v>
      </c>
      <c r="M23" s="245" t="s">
        <v>494</v>
      </c>
      <c r="N23" s="248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0F9</v>
      </c>
      <c r="B24" s="243" t="s">
        <v>462</v>
      </c>
      <c r="C24" s="241" t="s">
        <v>476</v>
      </c>
      <c r="D24" s="241" t="s">
        <v>476</v>
      </c>
      <c r="E24" s="240" t="s">
        <v>476</v>
      </c>
      <c r="F24" s="241" t="s">
        <v>476</v>
      </c>
      <c r="G24" s="246"/>
      <c r="H24" s="241" t="s">
        <v>476</v>
      </c>
      <c r="I24" s="240" t="s">
        <v>489</v>
      </c>
      <c r="J24" s="241" t="s">
        <v>308</v>
      </c>
      <c r="K24" s="246" t="s">
        <v>463</v>
      </c>
      <c r="L24" s="247" t="s">
        <v>464</v>
      </c>
      <c r="M24" s="245" t="s">
        <v>521</v>
      </c>
      <c r="N24" s="249" t="s">
        <v>529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0FA</v>
      </c>
      <c r="B25" s="243" t="s">
        <v>462</v>
      </c>
      <c r="C25" s="241" t="s">
        <v>476</v>
      </c>
      <c r="D25" s="241" t="s">
        <v>476</v>
      </c>
      <c r="E25" s="240" t="s">
        <v>476</v>
      </c>
      <c r="F25" s="241" t="s">
        <v>476</v>
      </c>
      <c r="G25" s="246"/>
      <c r="H25" s="241" t="s">
        <v>476</v>
      </c>
      <c r="I25" s="240" t="s">
        <v>488</v>
      </c>
      <c r="J25" s="241" t="s">
        <v>316</v>
      </c>
      <c r="K25" s="246" t="s">
        <v>463</v>
      </c>
      <c r="L25" s="247" t="s">
        <v>464</v>
      </c>
      <c r="M25" s="245" t="s">
        <v>527</v>
      </c>
      <c r="N25" s="249" t="s">
        <v>528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0FB</v>
      </c>
      <c r="B26" s="243" t="s">
        <v>462</v>
      </c>
      <c r="C26" s="241" t="s">
        <v>476</v>
      </c>
      <c r="D26" s="241" t="s">
        <v>476</v>
      </c>
      <c r="E26" s="240" t="s">
        <v>476</v>
      </c>
      <c r="F26" s="241" t="s">
        <v>479</v>
      </c>
      <c r="G26" s="246"/>
      <c r="H26" s="241" t="s">
        <v>295</v>
      </c>
      <c r="I26" s="240" t="s">
        <v>315</v>
      </c>
      <c r="J26" s="241" t="s">
        <v>476</v>
      </c>
      <c r="K26" s="246" t="s">
        <v>463</v>
      </c>
      <c r="L26" s="247" t="s">
        <v>464</v>
      </c>
      <c r="M26" s="245" t="s">
        <v>148</v>
      </c>
      <c r="N26" s="249" t="s">
        <v>125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0FC</v>
      </c>
      <c r="B27" s="243" t="s">
        <v>462</v>
      </c>
      <c r="C27" s="241" t="s">
        <v>476</v>
      </c>
      <c r="D27" s="241" t="s">
        <v>476</v>
      </c>
      <c r="E27" s="240" t="s">
        <v>476</v>
      </c>
      <c r="F27" s="241" t="s">
        <v>476</v>
      </c>
      <c r="G27" s="246"/>
      <c r="H27" s="241" t="s">
        <v>476</v>
      </c>
      <c r="I27" s="240" t="s">
        <v>306</v>
      </c>
      <c r="J27" s="241" t="s">
        <v>311</v>
      </c>
      <c r="K27" s="246" t="s">
        <v>463</v>
      </c>
      <c r="L27" s="247" t="s">
        <v>464</v>
      </c>
      <c r="M27" s="245" t="s">
        <v>497</v>
      </c>
      <c r="N27" s="249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0FD</v>
      </c>
      <c r="B28" s="243" t="s">
        <v>462</v>
      </c>
      <c r="C28" s="241" t="s">
        <v>476</v>
      </c>
      <c r="D28" s="241" t="s">
        <v>476</v>
      </c>
      <c r="E28" s="240" t="s">
        <v>476</v>
      </c>
      <c r="F28" s="241" t="s">
        <v>476</v>
      </c>
      <c r="G28" s="246"/>
      <c r="H28" s="241" t="s">
        <v>476</v>
      </c>
      <c r="I28" s="240" t="s">
        <v>307</v>
      </c>
      <c r="J28" s="241" t="s">
        <v>316</v>
      </c>
      <c r="K28" s="246" t="s">
        <v>463</v>
      </c>
      <c r="L28" s="247" t="s">
        <v>464</v>
      </c>
      <c r="M28" s="245" t="s">
        <v>495</v>
      </c>
      <c r="N28" s="249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0FE</v>
      </c>
      <c r="B29" s="243" t="s">
        <v>462</v>
      </c>
      <c r="C29" s="241" t="s">
        <v>476</v>
      </c>
      <c r="D29" s="241" t="s">
        <v>476</v>
      </c>
      <c r="E29" s="240" t="s">
        <v>476</v>
      </c>
      <c r="F29" s="241" t="s">
        <v>476</v>
      </c>
      <c r="G29" s="246"/>
      <c r="H29" s="241" t="s">
        <v>476</v>
      </c>
      <c r="I29" s="240" t="s">
        <v>476</v>
      </c>
      <c r="J29" s="241" t="s">
        <v>476</v>
      </c>
      <c r="K29" s="246" t="s">
        <v>463</v>
      </c>
      <c r="L29" s="247" t="s">
        <v>464</v>
      </c>
      <c r="M29" s="245" t="s">
        <v>7</v>
      </c>
      <c r="N29" s="249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0FF</v>
      </c>
      <c r="B30" s="250" t="s">
        <v>35</v>
      </c>
      <c r="C30" s="242" t="s">
        <v>476</v>
      </c>
      <c r="D30" s="242" t="s">
        <v>476</v>
      </c>
      <c r="E30" s="242" t="s">
        <v>476</v>
      </c>
      <c r="F30" s="242" t="s">
        <v>476</v>
      </c>
      <c r="G30" s="250"/>
      <c r="H30" s="242" t="s">
        <v>476</v>
      </c>
      <c r="I30" s="242" t="s">
        <v>476</v>
      </c>
      <c r="J30" s="242" t="s">
        <v>476</v>
      </c>
      <c r="K30" s="250" t="s">
        <v>463</v>
      </c>
      <c r="L30" s="251" t="s">
        <v>464</v>
      </c>
      <c r="M30" s="253" t="s">
        <v>493</v>
      </c>
      <c r="N30" s="252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3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112</v>
      </c>
      <c r="B1" s="95"/>
      <c r="C1" s="96"/>
      <c r="D1" s="95"/>
      <c r="E1" s="97" t="s">
        <v>29</v>
      </c>
      <c r="F1" s="96"/>
      <c r="G1" s="96" t="str">
        <f>'Decoder Table'!A41</f>
        <v>0xD0</v>
      </c>
      <c r="H1" s="96"/>
      <c r="I1" s="97" t="s">
        <v>471</v>
      </c>
      <c r="J1" s="96"/>
      <c r="K1" s="96"/>
      <c r="L1" s="96" t="str">
        <f>CONCATENATE("0x",'Decoder Table'!B41)</f>
        <v>0x2F0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2F0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2F1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2F2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2F3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2F4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2F5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2F6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2F7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2F8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2F9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2FA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307</v>
      </c>
      <c r="J16" s="66" t="s">
        <v>314</v>
      </c>
      <c r="K16" s="72" t="s">
        <v>463</v>
      </c>
      <c r="L16" s="73" t="s">
        <v>464</v>
      </c>
      <c r="M16" s="70" t="s">
        <v>506</v>
      </c>
      <c r="N16" s="77" t="s">
        <v>114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2FB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2FC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2FD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2FE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2FF</v>
      </c>
      <c r="B21" s="79" t="s">
        <v>35</v>
      </c>
      <c r="C21" s="67" t="s">
        <v>476</v>
      </c>
      <c r="D21" s="67" t="s">
        <v>476</v>
      </c>
      <c r="E21" s="67" t="s">
        <v>476</v>
      </c>
      <c r="F21" s="67" t="s">
        <v>476</v>
      </c>
      <c r="G21" s="79"/>
      <c r="H21" s="67" t="s">
        <v>476</v>
      </c>
      <c r="I21" s="67" t="s">
        <v>476</v>
      </c>
      <c r="J21" s="67" t="s">
        <v>476</v>
      </c>
      <c r="K21" s="79" t="s">
        <v>463</v>
      </c>
      <c r="L21" s="80" t="s">
        <v>464</v>
      </c>
      <c r="M21" s="100" t="s">
        <v>493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4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155</v>
      </c>
      <c r="B1" s="95"/>
      <c r="C1" s="96"/>
      <c r="D1" s="95"/>
      <c r="E1" s="97" t="s">
        <v>29</v>
      </c>
      <c r="F1" s="96"/>
      <c r="G1" s="96" t="str">
        <f>'Decoder Table'!A46</f>
        <v>0xD5</v>
      </c>
      <c r="H1" s="96"/>
      <c r="I1" s="97" t="s">
        <v>471</v>
      </c>
      <c r="J1" s="96"/>
      <c r="K1" s="96"/>
      <c r="L1" s="96" t="str">
        <f>CONCATENATE("0x",'Decoder Table'!B46)</f>
        <v>0x360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360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361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362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138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363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364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365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366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367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368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369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36A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36B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36C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36D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36E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36F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370</v>
      </c>
      <c r="B23" s="257" t="s">
        <v>462</v>
      </c>
      <c r="C23" s="254" t="s">
        <v>476</v>
      </c>
      <c r="D23" s="254" t="s">
        <v>476</v>
      </c>
      <c r="E23" s="254" t="s">
        <v>476</v>
      </c>
      <c r="F23" s="254" t="s">
        <v>476</v>
      </c>
      <c r="G23" s="257"/>
      <c r="H23" s="255" t="s">
        <v>476</v>
      </c>
      <c r="I23" s="254" t="s">
        <v>306</v>
      </c>
      <c r="J23" s="254" t="s">
        <v>314</v>
      </c>
      <c r="K23" s="257" t="s">
        <v>463</v>
      </c>
      <c r="L23" s="258" t="s">
        <v>464</v>
      </c>
      <c r="M23" s="259" t="s">
        <v>494</v>
      </c>
      <c r="N23" s="262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371</v>
      </c>
      <c r="B24" s="257" t="s">
        <v>462</v>
      </c>
      <c r="C24" s="255" t="s">
        <v>476</v>
      </c>
      <c r="D24" s="255" t="s">
        <v>476</v>
      </c>
      <c r="E24" s="254" t="s">
        <v>476</v>
      </c>
      <c r="F24" s="255" t="s">
        <v>476</v>
      </c>
      <c r="G24" s="260"/>
      <c r="H24" s="255" t="s">
        <v>476</v>
      </c>
      <c r="I24" s="254" t="s">
        <v>489</v>
      </c>
      <c r="J24" s="255" t="s">
        <v>308</v>
      </c>
      <c r="K24" s="260" t="s">
        <v>463</v>
      </c>
      <c r="L24" s="261" t="s">
        <v>464</v>
      </c>
      <c r="M24" s="259" t="s">
        <v>521</v>
      </c>
      <c r="N24" s="263" t="s">
        <v>529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372</v>
      </c>
      <c r="B25" s="257" t="s">
        <v>462</v>
      </c>
      <c r="C25" s="255" t="s">
        <v>476</v>
      </c>
      <c r="D25" s="255" t="s">
        <v>548</v>
      </c>
      <c r="E25" s="254" t="s">
        <v>141</v>
      </c>
      <c r="F25" s="255" t="s">
        <v>476</v>
      </c>
      <c r="G25" s="260"/>
      <c r="H25" s="255" t="s">
        <v>476</v>
      </c>
      <c r="I25" s="254" t="s">
        <v>488</v>
      </c>
      <c r="J25" s="255" t="s">
        <v>476</v>
      </c>
      <c r="K25" s="260" t="s">
        <v>463</v>
      </c>
      <c r="L25" s="261" t="s">
        <v>464</v>
      </c>
      <c r="M25" s="259" t="s">
        <v>523</v>
      </c>
      <c r="N25" s="263" t="s">
        <v>524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373</v>
      </c>
      <c r="B26" s="257" t="s">
        <v>462</v>
      </c>
      <c r="C26" s="255" t="s">
        <v>476</v>
      </c>
      <c r="D26" s="255" t="s">
        <v>476</v>
      </c>
      <c r="E26" s="254" t="s">
        <v>476</v>
      </c>
      <c r="F26" s="255" t="s">
        <v>476</v>
      </c>
      <c r="G26" s="260"/>
      <c r="H26" s="255" t="s">
        <v>301</v>
      </c>
      <c r="I26" s="254" t="s">
        <v>315</v>
      </c>
      <c r="J26" s="255" t="s">
        <v>476</v>
      </c>
      <c r="K26" s="260" t="s">
        <v>463</v>
      </c>
      <c r="L26" s="261" t="s">
        <v>464</v>
      </c>
      <c r="M26" s="259" t="s">
        <v>26</v>
      </c>
      <c r="N26" s="263" t="s">
        <v>156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374</v>
      </c>
      <c r="B27" s="257" t="s">
        <v>462</v>
      </c>
      <c r="C27" s="255" t="s">
        <v>476</v>
      </c>
      <c r="D27" s="255" t="s">
        <v>476</v>
      </c>
      <c r="E27" s="254" t="s">
        <v>476</v>
      </c>
      <c r="F27" s="255" t="s">
        <v>476</v>
      </c>
      <c r="G27" s="260"/>
      <c r="H27" s="255" t="s">
        <v>476</v>
      </c>
      <c r="I27" s="254" t="s">
        <v>306</v>
      </c>
      <c r="J27" s="255" t="s">
        <v>311</v>
      </c>
      <c r="K27" s="260" t="s">
        <v>463</v>
      </c>
      <c r="L27" s="261" t="s">
        <v>464</v>
      </c>
      <c r="M27" s="259" t="s">
        <v>497</v>
      </c>
      <c r="N27" s="263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375</v>
      </c>
      <c r="B28" s="257" t="s">
        <v>462</v>
      </c>
      <c r="C28" s="255" t="s">
        <v>476</v>
      </c>
      <c r="D28" s="255" t="s">
        <v>476</v>
      </c>
      <c r="E28" s="254" t="s">
        <v>476</v>
      </c>
      <c r="F28" s="255" t="s">
        <v>476</v>
      </c>
      <c r="G28" s="260"/>
      <c r="H28" s="255" t="s">
        <v>476</v>
      </c>
      <c r="I28" s="254" t="s">
        <v>307</v>
      </c>
      <c r="J28" s="255" t="s">
        <v>316</v>
      </c>
      <c r="K28" s="260" t="s">
        <v>463</v>
      </c>
      <c r="L28" s="261" t="s">
        <v>464</v>
      </c>
      <c r="M28" s="259" t="s">
        <v>495</v>
      </c>
      <c r="N28" s="263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376</v>
      </c>
      <c r="B29" s="257" t="s">
        <v>462</v>
      </c>
      <c r="C29" s="255" t="s">
        <v>476</v>
      </c>
      <c r="D29" s="255" t="s">
        <v>476</v>
      </c>
      <c r="E29" s="254" t="s">
        <v>476</v>
      </c>
      <c r="F29" s="255" t="s">
        <v>476</v>
      </c>
      <c r="G29" s="260"/>
      <c r="H29" s="255" t="s">
        <v>476</v>
      </c>
      <c r="I29" s="254" t="s">
        <v>476</v>
      </c>
      <c r="J29" s="255" t="s">
        <v>476</v>
      </c>
      <c r="K29" s="260" t="s">
        <v>463</v>
      </c>
      <c r="L29" s="261" t="s">
        <v>464</v>
      </c>
      <c r="M29" s="259" t="s">
        <v>7</v>
      </c>
      <c r="N29" s="263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377</v>
      </c>
      <c r="B30" s="264" t="s">
        <v>35</v>
      </c>
      <c r="C30" s="256" t="s">
        <v>476</v>
      </c>
      <c r="D30" s="256" t="s">
        <v>476</v>
      </c>
      <c r="E30" s="256" t="s">
        <v>476</v>
      </c>
      <c r="F30" s="256" t="s">
        <v>476</v>
      </c>
      <c r="G30" s="264"/>
      <c r="H30" s="256" t="s">
        <v>476</v>
      </c>
      <c r="I30" s="256" t="s">
        <v>476</v>
      </c>
      <c r="J30" s="256" t="s">
        <v>476</v>
      </c>
      <c r="K30" s="264" t="s">
        <v>463</v>
      </c>
      <c r="L30" s="265" t="s">
        <v>464</v>
      </c>
      <c r="M30" s="267" t="s">
        <v>493</v>
      </c>
      <c r="N30" s="266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5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158</v>
      </c>
      <c r="B1" s="95"/>
      <c r="C1" s="96"/>
      <c r="D1" s="95"/>
      <c r="E1" s="97" t="s">
        <v>29</v>
      </c>
      <c r="F1" s="96"/>
      <c r="G1" s="96" t="str">
        <f>'Decoder Table'!A44</f>
        <v>0xD3</v>
      </c>
      <c r="H1" s="96"/>
      <c r="I1" s="97" t="s">
        <v>471</v>
      </c>
      <c r="J1" s="96"/>
      <c r="K1" s="96"/>
      <c r="L1" s="96" t="str">
        <f>CONCATENATE("0x",'Decoder Table'!B44)</f>
        <v>0x330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330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331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332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138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333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334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335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336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337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338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339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33A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33B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33C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33D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33E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33F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306</v>
      </c>
      <c r="J21" s="66" t="s">
        <v>314</v>
      </c>
      <c r="K21" s="72" t="s">
        <v>463</v>
      </c>
      <c r="L21" s="73" t="s">
        <v>464</v>
      </c>
      <c r="M21" s="70" t="s">
        <v>494</v>
      </c>
      <c r="N21" s="78" t="s">
        <v>136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340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312</v>
      </c>
      <c r="J23" s="65" t="s">
        <v>308</v>
      </c>
      <c r="K23" s="68" t="s">
        <v>463</v>
      </c>
      <c r="L23" s="69" t="s">
        <v>464</v>
      </c>
      <c r="M23" s="70" t="s">
        <v>499</v>
      </c>
      <c r="N23" s="76" t="s">
        <v>159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341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313</v>
      </c>
      <c r="J24" s="66" t="s">
        <v>487</v>
      </c>
      <c r="K24" s="72" t="s">
        <v>463</v>
      </c>
      <c r="L24" s="73" t="s">
        <v>464</v>
      </c>
      <c r="M24" s="70" t="s">
        <v>14</v>
      </c>
      <c r="N24" s="77" t="s">
        <v>160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342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306</v>
      </c>
      <c r="J25" s="66" t="s">
        <v>311</v>
      </c>
      <c r="K25" s="72" t="s">
        <v>463</v>
      </c>
      <c r="L25" s="73" t="s">
        <v>464</v>
      </c>
      <c r="M25" s="70" t="s">
        <v>497</v>
      </c>
      <c r="N25" s="77" t="s">
        <v>137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343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314</v>
      </c>
      <c r="K26" s="72" t="s">
        <v>463</v>
      </c>
      <c r="L26" s="73" t="s">
        <v>464</v>
      </c>
      <c r="M26" s="70" t="s">
        <v>506</v>
      </c>
      <c r="N26" s="77" t="s">
        <v>140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344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345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346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347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6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328</v>
      </c>
      <c r="B1" s="95"/>
      <c r="C1" s="96"/>
      <c r="D1" s="95"/>
      <c r="E1" s="97" t="s">
        <v>29</v>
      </c>
      <c r="F1" s="96"/>
      <c r="G1" s="96" t="str">
        <f>'Decoder Table'!A42</f>
        <v>0xD1</v>
      </c>
      <c r="H1" s="96"/>
      <c r="I1" s="97" t="s">
        <v>471</v>
      </c>
      <c r="J1" s="96"/>
      <c r="K1" s="96"/>
      <c r="L1" s="96" t="str">
        <f>CONCATENATE("0x",'Decoder Table'!B42)</f>
        <v>0x300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300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301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302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55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303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304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305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306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307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308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309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161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30A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30B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30C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30D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30E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30F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310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312</v>
      </c>
      <c r="J23" s="65" t="s">
        <v>314</v>
      </c>
      <c r="K23" s="68" t="s">
        <v>463</v>
      </c>
      <c r="L23" s="69" t="s">
        <v>464</v>
      </c>
      <c r="M23" s="70" t="s">
        <v>507</v>
      </c>
      <c r="N23" s="76" t="s">
        <v>162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311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313</v>
      </c>
      <c r="J24" s="66" t="s">
        <v>487</v>
      </c>
      <c r="K24" s="72" t="s">
        <v>463</v>
      </c>
      <c r="L24" s="73" t="s">
        <v>464</v>
      </c>
      <c r="M24" s="70" t="s">
        <v>14</v>
      </c>
      <c r="N24" s="77" t="s">
        <v>160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312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306</v>
      </c>
      <c r="J25" s="66" t="s">
        <v>311</v>
      </c>
      <c r="K25" s="72" t="s">
        <v>463</v>
      </c>
      <c r="L25" s="73" t="s">
        <v>464</v>
      </c>
      <c r="M25" s="70" t="s">
        <v>497</v>
      </c>
      <c r="N25" s="77" t="s">
        <v>56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313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314</v>
      </c>
      <c r="K26" s="72" t="s">
        <v>463</v>
      </c>
      <c r="L26" s="73" t="s">
        <v>464</v>
      </c>
      <c r="M26" s="70" t="s">
        <v>506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314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315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316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317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7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0</v>
      </c>
      <c r="B1" s="95"/>
      <c r="C1" s="96"/>
      <c r="D1" s="95"/>
      <c r="E1" s="97" t="s">
        <v>29</v>
      </c>
      <c r="F1" s="96"/>
      <c r="G1" s="96" t="str">
        <f>'Decoder Table'!A45</f>
        <v>0xD4</v>
      </c>
      <c r="H1" s="96"/>
      <c r="I1" s="97" t="s">
        <v>471</v>
      </c>
      <c r="J1" s="96"/>
      <c r="K1" s="96"/>
      <c r="L1" s="96" t="str">
        <f>CONCATENATE("0x",'Decoder Table'!B45)</f>
        <v>0x348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348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349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34A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34B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308</v>
      </c>
      <c r="K8" s="72" t="s">
        <v>463</v>
      </c>
      <c r="L8" s="73" t="s">
        <v>464</v>
      </c>
      <c r="M8" s="70" t="s">
        <v>509</v>
      </c>
      <c r="N8" s="74" t="s">
        <v>450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34C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34D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34E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34F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350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351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352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353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354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355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306</v>
      </c>
      <c r="J19" s="66" t="s">
        <v>314</v>
      </c>
      <c r="K19" s="72" t="s">
        <v>463</v>
      </c>
      <c r="L19" s="73" t="s">
        <v>464</v>
      </c>
      <c r="M19" s="70" t="s">
        <v>494</v>
      </c>
      <c r="N19" s="77" t="s">
        <v>136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356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357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358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312</v>
      </c>
      <c r="J23" s="65" t="s">
        <v>311</v>
      </c>
      <c r="K23" s="68" t="s">
        <v>463</v>
      </c>
      <c r="L23" s="69" t="s">
        <v>464</v>
      </c>
      <c r="M23" s="70" t="s">
        <v>504</v>
      </c>
      <c r="N23" s="76" t="s">
        <v>165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359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313</v>
      </c>
      <c r="J24" s="66" t="s">
        <v>308</v>
      </c>
      <c r="K24" s="72" t="s">
        <v>478</v>
      </c>
      <c r="L24" s="73" t="s">
        <v>464</v>
      </c>
      <c r="M24" s="70" t="s">
        <v>508</v>
      </c>
      <c r="N24" s="77" t="s">
        <v>451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35A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476</v>
      </c>
      <c r="J25" s="66" t="s">
        <v>476</v>
      </c>
      <c r="K25" s="72" t="s">
        <v>478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35B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476</v>
      </c>
      <c r="J26" s="66" t="s">
        <v>476</v>
      </c>
      <c r="K26" s="72" t="s">
        <v>478</v>
      </c>
      <c r="L26" s="73" t="s">
        <v>464</v>
      </c>
      <c r="M26" s="70" t="s">
        <v>7</v>
      </c>
      <c r="N26" s="77" t="s">
        <v>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35C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478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35D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478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35E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35F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23:J30 J14:J21 J5:J12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8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760</v>
      </c>
      <c r="B1" s="95"/>
      <c r="C1" s="96"/>
      <c r="D1" s="95"/>
      <c r="E1" s="97" t="s">
        <v>29</v>
      </c>
      <c r="F1" s="96"/>
      <c r="G1" s="96" t="str">
        <f>'Decoder Table'!A43</f>
        <v>0xD2</v>
      </c>
      <c r="H1" s="96"/>
      <c r="I1" s="97" t="s">
        <v>471</v>
      </c>
      <c r="J1" s="96"/>
      <c r="K1" s="96"/>
      <c r="L1" s="96" t="str">
        <f>CONCATENATE("0x",'Decoder Table'!B43)</f>
        <v>0x318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318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319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161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31A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163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31B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31C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31D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31E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31F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320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321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81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322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323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324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325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306</v>
      </c>
      <c r="J19" s="66" t="s">
        <v>314</v>
      </c>
      <c r="K19" s="72" t="s">
        <v>463</v>
      </c>
      <c r="L19" s="73" t="s">
        <v>464</v>
      </c>
      <c r="M19" s="70" t="s">
        <v>494</v>
      </c>
      <c r="N19" s="77" t="s">
        <v>56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326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327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328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312</v>
      </c>
      <c r="J23" s="65" t="s">
        <v>311</v>
      </c>
      <c r="K23" s="68" t="s">
        <v>463</v>
      </c>
      <c r="L23" s="69" t="s">
        <v>464</v>
      </c>
      <c r="M23" s="70" t="s">
        <v>504</v>
      </c>
      <c r="N23" s="76" t="s">
        <v>164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329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313</v>
      </c>
      <c r="J24" s="66" t="s">
        <v>308</v>
      </c>
      <c r="K24" s="72" t="s">
        <v>478</v>
      </c>
      <c r="L24" s="73" t="s">
        <v>464</v>
      </c>
      <c r="M24" s="70" t="s">
        <v>508</v>
      </c>
      <c r="N24" s="77" t="s">
        <v>452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32A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476</v>
      </c>
      <c r="J25" s="66" t="s">
        <v>476</v>
      </c>
      <c r="K25" s="72" t="s">
        <v>478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32B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476</v>
      </c>
      <c r="J26" s="66" t="s">
        <v>476</v>
      </c>
      <c r="K26" s="72" t="s">
        <v>478</v>
      </c>
      <c r="L26" s="73" t="s">
        <v>464</v>
      </c>
      <c r="M26" s="70" t="s">
        <v>7</v>
      </c>
      <c r="N26" s="77" t="s">
        <v>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32C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478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32D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478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32E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32F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761</v>
      </c>
      <c r="B1" s="95"/>
      <c r="C1" s="96"/>
      <c r="D1" s="95"/>
      <c r="E1" s="97" t="s">
        <v>29</v>
      </c>
      <c r="F1" s="96"/>
      <c r="G1" s="96" t="str">
        <f>'Decoder Table'!A24</f>
        <v>0xB2</v>
      </c>
      <c r="H1" s="96"/>
      <c r="I1" s="97" t="s">
        <v>471</v>
      </c>
      <c r="J1" s="96"/>
      <c r="K1" s="96"/>
      <c r="L1" s="96" t="str">
        <f>CONCATENATE("0x",'Decoder Table'!B24)</f>
        <v>0x188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188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189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18A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18B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18C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18D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18E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18F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190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191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192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193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194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195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196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197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198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488</v>
      </c>
      <c r="J23" s="65" t="s">
        <v>311</v>
      </c>
      <c r="K23" s="68" t="s">
        <v>463</v>
      </c>
      <c r="L23" s="69" t="s">
        <v>464</v>
      </c>
      <c r="M23" s="70" t="s">
        <v>530</v>
      </c>
      <c r="N23" s="76" t="s">
        <v>531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199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521</v>
      </c>
      <c r="N24" s="77" t="s">
        <v>532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19A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479</v>
      </c>
      <c r="G25" s="72"/>
      <c r="H25" s="66" t="s">
        <v>293</v>
      </c>
      <c r="I25" s="65" t="s">
        <v>315</v>
      </c>
      <c r="J25" s="66" t="s">
        <v>476</v>
      </c>
      <c r="K25" s="72" t="s">
        <v>463</v>
      </c>
      <c r="L25" s="73" t="s">
        <v>464</v>
      </c>
      <c r="M25" s="70" t="s">
        <v>128</v>
      </c>
      <c r="N25" s="77" t="s">
        <v>127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19B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495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19C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19D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19E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19F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0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149</v>
      </c>
      <c r="B1" s="95"/>
      <c r="C1" s="96"/>
      <c r="D1" s="95"/>
      <c r="E1" s="97" t="s">
        <v>29</v>
      </c>
      <c r="F1" s="96"/>
      <c r="G1" s="96" t="str">
        <f>'Decoder Table'!A13</f>
        <v>0xA2</v>
      </c>
      <c r="H1" s="96"/>
      <c r="I1" s="97" t="s">
        <v>471</v>
      </c>
      <c r="J1" s="96"/>
      <c r="K1" s="96"/>
      <c r="L1" s="96" t="str">
        <f>CONCATENATE("0x",'Decoder Table'!B13)</f>
        <v>0x098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098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099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09A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09B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09C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09D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09E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09F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0A0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0A1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0A2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0A3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0A4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0A5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0A6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0A7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0A8</v>
      </c>
      <c r="B23" s="271" t="s">
        <v>462</v>
      </c>
      <c r="C23" s="268" t="s">
        <v>476</v>
      </c>
      <c r="D23" s="268" t="s">
        <v>476</v>
      </c>
      <c r="E23" s="268" t="s">
        <v>476</v>
      </c>
      <c r="F23" s="268" t="s">
        <v>476</v>
      </c>
      <c r="G23" s="271"/>
      <c r="H23" s="269" t="s">
        <v>476</v>
      </c>
      <c r="I23" s="268" t="s">
        <v>306</v>
      </c>
      <c r="J23" s="268" t="s">
        <v>314</v>
      </c>
      <c r="K23" s="271" t="s">
        <v>463</v>
      </c>
      <c r="L23" s="272" t="s">
        <v>464</v>
      </c>
      <c r="M23" s="273" t="s">
        <v>494</v>
      </c>
      <c r="N23" s="2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0A9</v>
      </c>
      <c r="B24" s="271" t="s">
        <v>462</v>
      </c>
      <c r="C24" s="269" t="s">
        <v>476</v>
      </c>
      <c r="D24" s="269" t="s">
        <v>476</v>
      </c>
      <c r="E24" s="268" t="s">
        <v>476</v>
      </c>
      <c r="F24" s="269" t="s">
        <v>476</v>
      </c>
      <c r="G24" s="274"/>
      <c r="H24" s="269" t="s">
        <v>476</v>
      </c>
      <c r="I24" s="268" t="s">
        <v>488</v>
      </c>
      <c r="J24" s="269" t="s">
        <v>308</v>
      </c>
      <c r="K24" s="274" t="s">
        <v>463</v>
      </c>
      <c r="L24" s="275" t="s">
        <v>464</v>
      </c>
      <c r="M24" s="273" t="s">
        <v>519</v>
      </c>
      <c r="N24" s="277" t="s">
        <v>525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0AA</v>
      </c>
      <c r="B25" s="271" t="s">
        <v>462</v>
      </c>
      <c r="C25" s="269" t="s">
        <v>476</v>
      </c>
      <c r="D25" s="269" t="s">
        <v>476</v>
      </c>
      <c r="E25" s="268" t="s">
        <v>476</v>
      </c>
      <c r="F25" s="269" t="s">
        <v>476</v>
      </c>
      <c r="G25" s="274"/>
      <c r="H25" s="269" t="s">
        <v>476</v>
      </c>
      <c r="I25" s="268" t="s">
        <v>489</v>
      </c>
      <c r="J25" s="269" t="s">
        <v>316</v>
      </c>
      <c r="K25" s="274" t="s">
        <v>463</v>
      </c>
      <c r="L25" s="275" t="s">
        <v>464</v>
      </c>
      <c r="M25" s="273" t="s">
        <v>526</v>
      </c>
      <c r="N25" s="277" t="s">
        <v>522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0AB</v>
      </c>
      <c r="B26" s="271" t="s">
        <v>462</v>
      </c>
      <c r="C26" s="269" t="s">
        <v>476</v>
      </c>
      <c r="D26" s="269" t="s">
        <v>476</v>
      </c>
      <c r="E26" s="268" t="s">
        <v>476</v>
      </c>
      <c r="F26" s="269" t="s">
        <v>479</v>
      </c>
      <c r="G26" s="274"/>
      <c r="H26" s="269" t="s">
        <v>293</v>
      </c>
      <c r="I26" s="268" t="s">
        <v>315</v>
      </c>
      <c r="J26" s="269" t="s">
        <v>476</v>
      </c>
      <c r="K26" s="274" t="s">
        <v>463</v>
      </c>
      <c r="L26" s="275" t="s">
        <v>464</v>
      </c>
      <c r="M26" s="273" t="s">
        <v>150</v>
      </c>
      <c r="N26" s="277" t="s">
        <v>127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0AC</v>
      </c>
      <c r="B27" s="271" t="s">
        <v>462</v>
      </c>
      <c r="C27" s="269" t="s">
        <v>476</v>
      </c>
      <c r="D27" s="269" t="s">
        <v>476</v>
      </c>
      <c r="E27" s="268" t="s">
        <v>476</v>
      </c>
      <c r="F27" s="269" t="s">
        <v>476</v>
      </c>
      <c r="G27" s="274"/>
      <c r="H27" s="269" t="s">
        <v>476</v>
      </c>
      <c r="I27" s="268" t="s">
        <v>306</v>
      </c>
      <c r="J27" s="269" t="s">
        <v>311</v>
      </c>
      <c r="K27" s="274" t="s">
        <v>463</v>
      </c>
      <c r="L27" s="275" t="s">
        <v>464</v>
      </c>
      <c r="M27" s="273" t="s">
        <v>497</v>
      </c>
      <c r="N27" s="2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0AD</v>
      </c>
      <c r="B28" s="271" t="s">
        <v>462</v>
      </c>
      <c r="C28" s="269" t="s">
        <v>476</v>
      </c>
      <c r="D28" s="269" t="s">
        <v>476</v>
      </c>
      <c r="E28" s="268" t="s">
        <v>476</v>
      </c>
      <c r="F28" s="269" t="s">
        <v>476</v>
      </c>
      <c r="G28" s="274"/>
      <c r="H28" s="269" t="s">
        <v>476</v>
      </c>
      <c r="I28" s="268" t="s">
        <v>307</v>
      </c>
      <c r="J28" s="269" t="s">
        <v>316</v>
      </c>
      <c r="K28" s="274" t="s">
        <v>463</v>
      </c>
      <c r="L28" s="275" t="s">
        <v>464</v>
      </c>
      <c r="M28" s="273" t="s">
        <v>495</v>
      </c>
      <c r="N28" s="2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0AE</v>
      </c>
      <c r="B29" s="271" t="s">
        <v>462</v>
      </c>
      <c r="C29" s="269" t="s">
        <v>476</v>
      </c>
      <c r="D29" s="269" t="s">
        <v>476</v>
      </c>
      <c r="E29" s="268" t="s">
        <v>476</v>
      </c>
      <c r="F29" s="269" t="s">
        <v>476</v>
      </c>
      <c r="G29" s="274"/>
      <c r="H29" s="269" t="s">
        <v>476</v>
      </c>
      <c r="I29" s="268" t="s">
        <v>476</v>
      </c>
      <c r="J29" s="269" t="s">
        <v>476</v>
      </c>
      <c r="K29" s="274" t="s">
        <v>463</v>
      </c>
      <c r="L29" s="275" t="s">
        <v>464</v>
      </c>
      <c r="M29" s="273" t="s">
        <v>7</v>
      </c>
      <c r="N29" s="2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0AF</v>
      </c>
      <c r="B30" s="278" t="s">
        <v>35</v>
      </c>
      <c r="C30" s="270" t="s">
        <v>476</v>
      </c>
      <c r="D30" s="270" t="s">
        <v>476</v>
      </c>
      <c r="E30" s="270" t="s">
        <v>476</v>
      </c>
      <c r="F30" s="270" t="s">
        <v>476</v>
      </c>
      <c r="G30" s="278"/>
      <c r="H30" s="270" t="s">
        <v>476</v>
      </c>
      <c r="I30" s="270" t="s">
        <v>476</v>
      </c>
      <c r="J30" s="270" t="s">
        <v>476</v>
      </c>
      <c r="K30" s="278" t="s">
        <v>463</v>
      </c>
      <c r="L30" s="279" t="s">
        <v>464</v>
      </c>
      <c r="M30" s="281" t="s">
        <v>493</v>
      </c>
      <c r="N30" s="280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disablePrompts="1"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92D050"/>
    <pageSetUpPr fitToPage="1"/>
  </sheetPr>
  <dimension ref="A1:AK166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758</v>
      </c>
      <c r="B1" s="95"/>
      <c r="C1" s="96"/>
      <c r="D1" s="95"/>
      <c r="E1" s="97" t="s">
        <v>29</v>
      </c>
      <c r="F1" s="96"/>
      <c r="G1" s="96" t="str">
        <f>'Decoder Table'!A64</f>
        <v>0x10</v>
      </c>
      <c r="H1" s="96"/>
      <c r="I1" s="97" t="s">
        <v>471</v>
      </c>
      <c r="J1" s="96"/>
      <c r="K1" s="96"/>
      <c r="L1" s="96" t="str">
        <f>CONCATENATE("0x",'Decoder Table'!B64)</f>
        <v>0x490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490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2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491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722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492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493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494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495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489</v>
      </c>
      <c r="J10" s="66" t="s">
        <v>314</v>
      </c>
      <c r="K10" s="72" t="s">
        <v>463</v>
      </c>
      <c r="L10" s="73" t="s">
        <v>464</v>
      </c>
      <c r="M10" s="70" t="s">
        <v>541</v>
      </c>
      <c r="N10" s="74" t="s">
        <v>730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496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497</v>
      </c>
      <c r="B12" s="72" t="s">
        <v>462</v>
      </c>
      <c r="C12" s="66" t="s">
        <v>476</v>
      </c>
      <c r="D12" s="66"/>
      <c r="E12" s="65"/>
      <c r="F12" s="66"/>
      <c r="G12" s="72"/>
      <c r="H12" s="66"/>
      <c r="I12" s="65"/>
      <c r="J12" s="66"/>
      <c r="K12" s="72" t="s">
        <v>463</v>
      </c>
      <c r="L12" s="73" t="s">
        <v>464</v>
      </c>
      <c r="M12" s="70" t="s">
        <v>7</v>
      </c>
      <c r="N12" s="74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623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706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498</v>
      </c>
      <c r="B14" s="68" t="s">
        <v>462</v>
      </c>
      <c r="C14" s="65" t="s">
        <v>476</v>
      </c>
      <c r="D14" s="65" t="s">
        <v>548</v>
      </c>
      <c r="E14" s="65" t="s">
        <v>5</v>
      </c>
      <c r="F14" s="65" t="s">
        <v>476</v>
      </c>
      <c r="G14" s="68"/>
      <c r="H14" s="66" t="s">
        <v>476</v>
      </c>
      <c r="I14" s="65" t="s">
        <v>306</v>
      </c>
      <c r="J14" s="65" t="s">
        <v>476</v>
      </c>
      <c r="K14" s="68" t="s">
        <v>463</v>
      </c>
      <c r="L14" s="69" t="s">
        <v>464</v>
      </c>
      <c r="M14" s="70" t="s">
        <v>498</v>
      </c>
      <c r="N14" s="71" t="s">
        <v>43</v>
      </c>
      <c r="O14" s="62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499</v>
      </c>
      <c r="B15" s="72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312</v>
      </c>
      <c r="J15" s="65" t="s">
        <v>308</v>
      </c>
      <c r="K15" s="72" t="s">
        <v>478</v>
      </c>
      <c r="L15" s="73" t="s">
        <v>464</v>
      </c>
      <c r="M15" s="70" t="s">
        <v>499</v>
      </c>
      <c r="N15" s="74" t="s">
        <v>50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49A</v>
      </c>
      <c r="B16" s="72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313</v>
      </c>
      <c r="J16" s="66" t="s">
        <v>318</v>
      </c>
      <c r="K16" s="72" t="s">
        <v>478</v>
      </c>
      <c r="L16" s="73" t="s">
        <v>464</v>
      </c>
      <c r="M16" s="70" t="s">
        <v>512</v>
      </c>
      <c r="N16" s="74" t="s">
        <v>453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49B</v>
      </c>
      <c r="B17" s="72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308</v>
      </c>
      <c r="K17" s="72" t="s">
        <v>478</v>
      </c>
      <c r="L17" s="73" t="s">
        <v>464</v>
      </c>
      <c r="M17" s="70" t="s">
        <v>519</v>
      </c>
      <c r="N17" s="74" t="s">
        <v>540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49C</v>
      </c>
      <c r="B18" s="72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296</v>
      </c>
      <c r="I18" s="65" t="s">
        <v>315</v>
      </c>
      <c r="J18" s="66" t="s">
        <v>476</v>
      </c>
      <c r="K18" s="72" t="s">
        <v>478</v>
      </c>
      <c r="L18" s="73" t="s">
        <v>464</v>
      </c>
      <c r="M18" s="70" t="s">
        <v>15</v>
      </c>
      <c r="N18" s="74" t="s">
        <v>704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49D</v>
      </c>
      <c r="B19" s="72" t="s">
        <v>462</v>
      </c>
      <c r="C19" s="66" t="s">
        <v>476</v>
      </c>
      <c r="D19" s="66"/>
      <c r="E19" s="65"/>
      <c r="F19" s="66" t="s">
        <v>476</v>
      </c>
      <c r="G19" s="72"/>
      <c r="H19" s="66" t="s">
        <v>476</v>
      </c>
      <c r="I19" s="65"/>
      <c r="J19" s="66"/>
      <c r="K19" s="72" t="s">
        <v>478</v>
      </c>
      <c r="L19" s="73" t="s">
        <v>464</v>
      </c>
      <c r="M19" s="70" t="s">
        <v>7</v>
      </c>
      <c r="N19" s="74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49E</v>
      </c>
      <c r="B20" s="72" t="s">
        <v>462</v>
      </c>
      <c r="C20" s="66" t="s">
        <v>476</v>
      </c>
      <c r="D20" s="66" t="s">
        <v>548</v>
      </c>
      <c r="E20" s="65" t="s">
        <v>663</v>
      </c>
      <c r="F20" s="66" t="s">
        <v>476</v>
      </c>
      <c r="G20" s="72"/>
      <c r="H20" s="66" t="s">
        <v>476</v>
      </c>
      <c r="I20" s="65" t="s">
        <v>306</v>
      </c>
      <c r="J20" s="66" t="s">
        <v>476</v>
      </c>
      <c r="K20" s="72" t="s">
        <v>463</v>
      </c>
      <c r="L20" s="73" t="s">
        <v>464</v>
      </c>
      <c r="M20" s="70" t="s">
        <v>665</v>
      </c>
      <c r="N20" s="77" t="s">
        <v>664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49F</v>
      </c>
      <c r="B21" s="72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310</v>
      </c>
      <c r="J21" s="66" t="s">
        <v>308</v>
      </c>
      <c r="K21" s="72" t="s">
        <v>463</v>
      </c>
      <c r="L21" s="73" t="s">
        <v>464</v>
      </c>
      <c r="M21" s="70" t="s">
        <v>509</v>
      </c>
      <c r="N21" s="75" t="s">
        <v>666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628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707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4A0</v>
      </c>
      <c r="B23" s="68" t="s">
        <v>462</v>
      </c>
      <c r="C23" s="65" t="s">
        <v>476</v>
      </c>
      <c r="D23" s="65"/>
      <c r="E23" s="65"/>
      <c r="F23" s="65" t="s">
        <v>476</v>
      </c>
      <c r="G23" s="68"/>
      <c r="H23" s="66" t="s">
        <v>476</v>
      </c>
      <c r="I23" s="65" t="s">
        <v>312</v>
      </c>
      <c r="J23" s="65" t="s">
        <v>316</v>
      </c>
      <c r="K23" s="68" t="s">
        <v>463</v>
      </c>
      <c r="L23" s="69" t="s">
        <v>464</v>
      </c>
      <c r="M23" s="70" t="s">
        <v>705</v>
      </c>
      <c r="N23" s="71" t="s">
        <v>50</v>
      </c>
      <c r="O23" s="62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4A1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/>
      <c r="I24" s="65" t="s">
        <v>313</v>
      </c>
      <c r="J24" s="65" t="s">
        <v>311</v>
      </c>
      <c r="K24" s="72" t="s">
        <v>478</v>
      </c>
      <c r="L24" s="73" t="s">
        <v>464</v>
      </c>
      <c r="M24" s="70" t="s">
        <v>510</v>
      </c>
      <c r="N24" s="74" t="s">
        <v>667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4A2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476</v>
      </c>
      <c r="G25" s="72"/>
      <c r="H25" s="66" t="s">
        <v>476</v>
      </c>
      <c r="I25" s="65" t="s">
        <v>488</v>
      </c>
      <c r="J25" s="66" t="s">
        <v>316</v>
      </c>
      <c r="K25" s="72" t="s">
        <v>478</v>
      </c>
      <c r="L25" s="73" t="s">
        <v>464</v>
      </c>
      <c r="M25" s="70" t="s">
        <v>527</v>
      </c>
      <c r="N25" s="74" t="s">
        <v>540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4A3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296</v>
      </c>
      <c r="I26" s="65" t="s">
        <v>315</v>
      </c>
      <c r="J26" s="66" t="s">
        <v>476</v>
      </c>
      <c r="K26" s="72" t="s">
        <v>478</v>
      </c>
      <c r="L26" s="73" t="s">
        <v>464</v>
      </c>
      <c r="M26" s="70" t="s">
        <v>15</v>
      </c>
      <c r="N26" s="74" t="s">
        <v>704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4A4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/>
      <c r="J27" s="66"/>
      <c r="K27" s="72" t="s">
        <v>478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4A5</v>
      </c>
      <c r="B28" s="68" t="s">
        <v>462</v>
      </c>
      <c r="C28" s="66" t="s">
        <v>476</v>
      </c>
      <c r="D28" s="66" t="s">
        <v>548</v>
      </c>
      <c r="E28" s="65" t="s">
        <v>4</v>
      </c>
      <c r="F28" s="66" t="s">
        <v>476</v>
      </c>
      <c r="G28" s="72"/>
      <c r="H28" s="66" t="s">
        <v>476</v>
      </c>
      <c r="I28" s="65" t="s">
        <v>306</v>
      </c>
      <c r="J28" s="66" t="s">
        <v>476</v>
      </c>
      <c r="K28" s="72" t="s">
        <v>478</v>
      </c>
      <c r="L28" s="73" t="s">
        <v>464</v>
      </c>
      <c r="M28" s="70" t="s">
        <v>682</v>
      </c>
      <c r="N28" s="77" t="s">
        <v>673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4A6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310</v>
      </c>
      <c r="J29" s="66" t="s">
        <v>308</v>
      </c>
      <c r="K29" s="72" t="s">
        <v>463</v>
      </c>
      <c r="L29" s="73" t="s">
        <v>464</v>
      </c>
      <c r="M29" s="70" t="s">
        <v>509</v>
      </c>
      <c r="N29" s="77" t="s">
        <v>674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3" t="str">
        <f>IF(MID($L$1,3,1)="0",CONCATENATE("0",DEC2HEX(HEX2DEC(MID($L$1,3,3))+23)),DEC2HEX(HEX2DEC(MID($L$1,3,3))+23))</f>
        <v>4A7</v>
      </c>
      <c r="B30" s="68" t="s">
        <v>462</v>
      </c>
      <c r="C30" s="66" t="s">
        <v>476</v>
      </c>
      <c r="D30" s="66" t="s">
        <v>476</v>
      </c>
      <c r="E30" s="65" t="s">
        <v>476</v>
      </c>
      <c r="F30" s="66" t="s">
        <v>476</v>
      </c>
      <c r="G30" s="72"/>
      <c r="H30" s="66" t="s">
        <v>476</v>
      </c>
      <c r="I30" s="65" t="s">
        <v>476</v>
      </c>
      <c r="J30" s="66" t="s">
        <v>476</v>
      </c>
      <c r="K30" s="72" t="s">
        <v>463</v>
      </c>
      <c r="L30" s="73" t="s">
        <v>464</v>
      </c>
      <c r="M30" s="70" t="s">
        <v>7</v>
      </c>
      <c r="N30" s="75" t="s">
        <v>36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Bot="1" x14ac:dyDescent="0.35">
      <c r="A31" s="82" t="s">
        <v>662</v>
      </c>
      <c r="B31" s="83"/>
      <c r="C31" s="84" t="s">
        <v>476</v>
      </c>
      <c r="D31" s="84"/>
      <c r="E31" s="84" t="s">
        <v>476</v>
      </c>
      <c r="F31" s="84" t="s">
        <v>476</v>
      </c>
      <c r="G31" s="83"/>
      <c r="H31" s="84" t="s">
        <v>476</v>
      </c>
      <c r="I31" s="84" t="s">
        <v>476</v>
      </c>
      <c r="J31" s="84" t="s">
        <v>476</v>
      </c>
      <c r="K31" s="83"/>
      <c r="L31" s="83"/>
      <c r="M31" s="85"/>
      <c r="N31" s="86" t="s">
        <v>720</v>
      </c>
      <c r="O31" s="61"/>
      <c r="P31" s="62"/>
      <c r="Q31" s="62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63" t="str">
        <f>IF(MID($L$1,3,1)="0",CONCATENATE("0",DEC2HEX(HEX2DEC(MID($L$1,3,3))+24)),DEC2HEX(HEX2DEC(MID($L$1,3,3))+24))</f>
        <v>4A8</v>
      </c>
      <c r="B32" s="68" t="s">
        <v>462</v>
      </c>
      <c r="C32" s="65" t="s">
        <v>476</v>
      </c>
      <c r="D32" s="65"/>
      <c r="E32" s="65"/>
      <c r="F32" s="65" t="s">
        <v>476</v>
      </c>
      <c r="G32" s="68"/>
      <c r="H32" s="66" t="s">
        <v>476</v>
      </c>
      <c r="I32" s="65" t="s">
        <v>312</v>
      </c>
      <c r="J32" s="65" t="s">
        <v>316</v>
      </c>
      <c r="K32" s="68" t="s">
        <v>463</v>
      </c>
      <c r="L32" s="69" t="s">
        <v>464</v>
      </c>
      <c r="M32" s="138" t="s">
        <v>705</v>
      </c>
      <c r="N32" s="71" t="s">
        <v>50</v>
      </c>
      <c r="O32" s="62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63" t="str">
        <f>IF(MID($L$1,3,1)="0",CONCATENATE("0",DEC2HEX(HEX2DEC(MID($L$1,3,3))+25)),DEC2HEX(HEX2DEC(MID($L$1,3,3))+25))</f>
        <v>4A9</v>
      </c>
      <c r="B33" s="68" t="s">
        <v>462</v>
      </c>
      <c r="C33" s="66" t="s">
        <v>476</v>
      </c>
      <c r="D33" s="66" t="s">
        <v>476</v>
      </c>
      <c r="E33" s="65" t="s">
        <v>476</v>
      </c>
      <c r="F33" s="66" t="s">
        <v>476</v>
      </c>
      <c r="G33" s="72"/>
      <c r="H33" s="66"/>
      <c r="I33" s="65" t="s">
        <v>313</v>
      </c>
      <c r="J33" s="65" t="s">
        <v>311</v>
      </c>
      <c r="K33" s="72" t="s">
        <v>478</v>
      </c>
      <c r="L33" s="73" t="s">
        <v>464</v>
      </c>
      <c r="M33" s="70" t="s">
        <v>510</v>
      </c>
      <c r="N33" s="74" t="s">
        <v>677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63" t="str">
        <f>IF(MID($L$1,3,1)="0",CONCATENATE("0",DEC2HEX(HEX2DEC(MID($L$1,3,3))+26)),DEC2HEX(HEX2DEC(MID($L$1,3,3))+26))</f>
        <v>4AA</v>
      </c>
      <c r="B34" s="68" t="s">
        <v>462</v>
      </c>
      <c r="C34" s="66" t="s">
        <v>476</v>
      </c>
      <c r="D34" s="66" t="s">
        <v>476</v>
      </c>
      <c r="E34" s="65" t="s">
        <v>476</v>
      </c>
      <c r="F34" s="66" t="s">
        <v>476</v>
      </c>
      <c r="G34" s="72"/>
      <c r="H34" s="66" t="s">
        <v>476</v>
      </c>
      <c r="I34" s="65" t="s">
        <v>488</v>
      </c>
      <c r="J34" s="66" t="s">
        <v>316</v>
      </c>
      <c r="K34" s="72" t="s">
        <v>478</v>
      </c>
      <c r="L34" s="73" t="s">
        <v>464</v>
      </c>
      <c r="M34" s="70" t="s">
        <v>527</v>
      </c>
      <c r="N34" s="74" t="s">
        <v>540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63" t="str">
        <f>IF(MID($L$1,3,1)="0",CONCATENATE("0",DEC2HEX(HEX2DEC(MID($L$1,3,3))+27)),DEC2HEX(HEX2DEC(MID($L$1,3,3))+27))</f>
        <v>4AB</v>
      </c>
      <c r="B35" s="68" t="s">
        <v>462</v>
      </c>
      <c r="C35" s="66" t="s">
        <v>476</v>
      </c>
      <c r="D35" s="66" t="s">
        <v>476</v>
      </c>
      <c r="E35" s="65" t="s">
        <v>476</v>
      </c>
      <c r="F35" s="66" t="s">
        <v>476</v>
      </c>
      <c r="G35" s="72"/>
      <c r="H35" s="66" t="s">
        <v>296</v>
      </c>
      <c r="I35" s="65" t="s">
        <v>315</v>
      </c>
      <c r="J35" s="66" t="s">
        <v>476</v>
      </c>
      <c r="K35" s="72" t="s">
        <v>478</v>
      </c>
      <c r="L35" s="73" t="s">
        <v>464</v>
      </c>
      <c r="M35" s="70" t="s">
        <v>15</v>
      </c>
      <c r="N35" s="74" t="s">
        <v>704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63" t="str">
        <f>IF(MID($L$1,3,1)="0",CONCATENATE("0",DEC2HEX(HEX2DEC(MID($L$1,3,3))+28)),DEC2HEX(HEX2DEC(MID($L$1,3,3))+28))</f>
        <v>4AC</v>
      </c>
      <c r="B36" s="68" t="s">
        <v>462</v>
      </c>
      <c r="C36" s="66" t="s">
        <v>476</v>
      </c>
      <c r="D36" s="66" t="s">
        <v>476</v>
      </c>
      <c r="E36" s="65" t="s">
        <v>476</v>
      </c>
      <c r="F36" s="66" t="s">
        <v>476</v>
      </c>
      <c r="G36" s="72"/>
      <c r="H36" s="66" t="s">
        <v>476</v>
      </c>
      <c r="I36" s="65"/>
      <c r="J36" s="66"/>
      <c r="K36" s="72" t="s">
        <v>478</v>
      </c>
      <c r="L36" s="73" t="s">
        <v>464</v>
      </c>
      <c r="M36" s="70" t="s">
        <v>7</v>
      </c>
      <c r="N36" s="77" t="s">
        <v>36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63" t="str">
        <f>IF(MID($L$1,3,1)="0",CONCATENATE("0",DEC2HEX(HEX2DEC(MID($L$1,3,3))+29)),DEC2HEX(HEX2DEC(MID($L$1,3,3))+29))</f>
        <v>4AD</v>
      </c>
      <c r="B37" s="68" t="s">
        <v>462</v>
      </c>
      <c r="C37" s="66" t="s">
        <v>476</v>
      </c>
      <c r="D37" s="66" t="s">
        <v>548</v>
      </c>
      <c r="E37" s="65" t="s">
        <v>672</v>
      </c>
      <c r="F37" s="66" t="s">
        <v>476</v>
      </c>
      <c r="G37" s="72"/>
      <c r="H37" s="66" t="s">
        <v>476</v>
      </c>
      <c r="I37" s="65" t="s">
        <v>306</v>
      </c>
      <c r="J37" s="66" t="s">
        <v>476</v>
      </c>
      <c r="K37" s="72" t="s">
        <v>478</v>
      </c>
      <c r="L37" s="73" t="s">
        <v>464</v>
      </c>
      <c r="M37" s="70" t="s">
        <v>681</v>
      </c>
      <c r="N37" s="77" t="s">
        <v>675</v>
      </c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63" t="str">
        <f>IF(MID($L$1,3,1)="0",CONCATENATE("0",DEC2HEX(HEX2DEC(MID($L$1,3,3))+30)),DEC2HEX(HEX2DEC(MID($L$1,3,3))+30))</f>
        <v>4AE</v>
      </c>
      <c r="B38" s="68" t="s">
        <v>462</v>
      </c>
      <c r="C38" s="66" t="s">
        <v>476</v>
      </c>
      <c r="D38" s="66" t="s">
        <v>476</v>
      </c>
      <c r="E38" s="65" t="s">
        <v>476</v>
      </c>
      <c r="F38" s="66" t="s">
        <v>476</v>
      </c>
      <c r="G38" s="72"/>
      <c r="H38" s="66" t="s">
        <v>476</v>
      </c>
      <c r="I38" s="65" t="s">
        <v>310</v>
      </c>
      <c r="J38" s="66" t="s">
        <v>308</v>
      </c>
      <c r="K38" s="72" t="s">
        <v>478</v>
      </c>
      <c r="L38" s="73" t="s">
        <v>464</v>
      </c>
      <c r="M38" s="70" t="s">
        <v>509</v>
      </c>
      <c r="N38" s="77" t="s">
        <v>676</v>
      </c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s="60" customFormat="1" ht="15" thickBot="1" x14ac:dyDescent="0.35">
      <c r="A39" s="63" t="str">
        <f>IF(MID($L$1,3,1)="0",CONCATENATE("0",DEC2HEX(HEX2DEC(MID($L$1,3,3))+31)),DEC2HEX(HEX2DEC(MID($L$1,3,3))+31))</f>
        <v>4AF</v>
      </c>
      <c r="B39" s="68" t="s">
        <v>462</v>
      </c>
      <c r="C39" s="66" t="s">
        <v>476</v>
      </c>
      <c r="D39" s="66" t="s">
        <v>476</v>
      </c>
      <c r="E39" s="65" t="s">
        <v>476</v>
      </c>
      <c r="F39" s="66" t="s">
        <v>476</v>
      </c>
      <c r="G39" s="72"/>
      <c r="H39" s="66" t="s">
        <v>476</v>
      </c>
      <c r="I39" s="65" t="s">
        <v>476</v>
      </c>
      <c r="J39" s="66" t="s">
        <v>476</v>
      </c>
      <c r="K39" s="72" t="s">
        <v>478</v>
      </c>
      <c r="L39" s="73" t="s">
        <v>464</v>
      </c>
      <c r="M39" s="70" t="s">
        <v>7</v>
      </c>
      <c r="N39" s="75" t="s">
        <v>36</v>
      </c>
      <c r="O39" s="61"/>
      <c r="P39" s="62"/>
      <c r="Q39" s="62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5" thickBot="1" x14ac:dyDescent="0.35">
      <c r="A40" s="82" t="s">
        <v>668</v>
      </c>
      <c r="B40" s="83"/>
      <c r="C40" s="84" t="s">
        <v>476</v>
      </c>
      <c r="D40" s="84"/>
      <c r="E40" s="84" t="s">
        <v>476</v>
      </c>
      <c r="F40" s="84" t="s">
        <v>476</v>
      </c>
      <c r="G40" s="83"/>
      <c r="H40" s="84" t="s">
        <v>476</v>
      </c>
      <c r="I40" s="84" t="s">
        <v>476</v>
      </c>
      <c r="J40" s="84" t="s">
        <v>476</v>
      </c>
      <c r="K40" s="83"/>
      <c r="L40" s="83"/>
      <c r="M40" s="85"/>
      <c r="N40" s="86" t="s">
        <v>719</v>
      </c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A41" s="63" t="str">
        <f>IF(MID($L$1,3,1)="0",CONCATENATE("0",DEC2HEX(HEX2DEC(MID($L$1,3,3))+32)),DEC2HEX(HEX2DEC(MID($L$1,3,3))+32))</f>
        <v>4B0</v>
      </c>
      <c r="B41" s="68" t="s">
        <v>462</v>
      </c>
      <c r="C41" s="65" t="s">
        <v>476</v>
      </c>
      <c r="D41" s="65"/>
      <c r="E41" s="65"/>
      <c r="F41" s="65" t="s">
        <v>476</v>
      </c>
      <c r="G41" s="68"/>
      <c r="H41" s="66" t="s">
        <v>476</v>
      </c>
      <c r="I41" s="65" t="s">
        <v>312</v>
      </c>
      <c r="J41" s="65" t="s">
        <v>316</v>
      </c>
      <c r="K41" s="68" t="s">
        <v>463</v>
      </c>
      <c r="L41" s="69" t="s">
        <v>464</v>
      </c>
      <c r="M41" s="138" t="s">
        <v>705</v>
      </c>
      <c r="N41" s="71" t="s">
        <v>50</v>
      </c>
      <c r="O41" s="62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A42" s="63" t="str">
        <f>IF(MID($L$1,3,1)="0",CONCATENATE("0",DEC2HEX(HEX2DEC(MID($L$1,3,3))+33)),DEC2HEX(HEX2DEC(MID($L$1,3,3))+33))</f>
        <v>4B1</v>
      </c>
      <c r="B42" s="68" t="s">
        <v>462</v>
      </c>
      <c r="C42" s="66" t="s">
        <v>476</v>
      </c>
      <c r="D42" s="66" t="s">
        <v>476</v>
      </c>
      <c r="E42" s="65" t="s">
        <v>476</v>
      </c>
      <c r="F42" s="66" t="s">
        <v>476</v>
      </c>
      <c r="G42" s="72"/>
      <c r="H42" s="66"/>
      <c r="I42" s="65" t="s">
        <v>313</v>
      </c>
      <c r="J42" s="65" t="s">
        <v>311</v>
      </c>
      <c r="K42" s="72" t="s">
        <v>478</v>
      </c>
      <c r="L42" s="73" t="s">
        <v>464</v>
      </c>
      <c r="M42" s="70" t="s">
        <v>510</v>
      </c>
      <c r="N42" s="74" t="s">
        <v>678</v>
      </c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A43" s="63" t="str">
        <f>IF(MID($L$1,3,1)="0",CONCATENATE("0",DEC2HEX(HEX2DEC(MID($L$1,3,3))+34)),DEC2HEX(HEX2DEC(MID($L$1,3,3))+34))</f>
        <v>4B2</v>
      </c>
      <c r="B43" s="68" t="s">
        <v>462</v>
      </c>
      <c r="C43" s="66" t="s">
        <v>476</v>
      </c>
      <c r="D43" s="66" t="s">
        <v>476</v>
      </c>
      <c r="E43" s="65" t="s">
        <v>476</v>
      </c>
      <c r="F43" s="66" t="s">
        <v>476</v>
      </c>
      <c r="G43" s="72"/>
      <c r="H43" s="66" t="s">
        <v>476</v>
      </c>
      <c r="I43" s="65" t="s">
        <v>488</v>
      </c>
      <c r="J43" s="66" t="s">
        <v>316</v>
      </c>
      <c r="K43" s="72" t="s">
        <v>478</v>
      </c>
      <c r="L43" s="73" t="s">
        <v>464</v>
      </c>
      <c r="M43" s="70" t="s">
        <v>527</v>
      </c>
      <c r="N43" s="74" t="s">
        <v>540</v>
      </c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A44" s="63" t="str">
        <f>IF(MID($L$1,3,1)="0",CONCATENATE("0",DEC2HEX(HEX2DEC(MID($L$1,3,3))+35)),DEC2HEX(HEX2DEC(MID($L$1,3,3))+35))</f>
        <v>4B3</v>
      </c>
      <c r="B44" s="68" t="s">
        <v>462</v>
      </c>
      <c r="C44" s="66" t="s">
        <v>476</v>
      </c>
      <c r="D44" s="66" t="s">
        <v>476</v>
      </c>
      <c r="E44" s="65" t="s">
        <v>476</v>
      </c>
      <c r="F44" s="66" t="s">
        <v>476</v>
      </c>
      <c r="G44" s="72"/>
      <c r="H44" s="66" t="s">
        <v>296</v>
      </c>
      <c r="I44" s="65" t="s">
        <v>315</v>
      </c>
      <c r="J44" s="66" t="s">
        <v>476</v>
      </c>
      <c r="K44" s="72" t="s">
        <v>478</v>
      </c>
      <c r="L44" s="73" t="s">
        <v>464</v>
      </c>
      <c r="M44" s="70" t="s">
        <v>15</v>
      </c>
      <c r="N44" s="74" t="s">
        <v>704</v>
      </c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A45" s="63" t="str">
        <f>IF(MID($L$1,3,1)="0",CONCATENATE("0",DEC2HEX(HEX2DEC(MID($L$1,3,3))+36)),DEC2HEX(HEX2DEC(MID($L$1,3,3))+36))</f>
        <v>4B4</v>
      </c>
      <c r="B45" s="68" t="s">
        <v>462</v>
      </c>
      <c r="C45" s="66" t="s">
        <v>476</v>
      </c>
      <c r="D45" s="66" t="s">
        <v>476</v>
      </c>
      <c r="E45" s="65" t="s">
        <v>476</v>
      </c>
      <c r="F45" s="66" t="s">
        <v>476</v>
      </c>
      <c r="G45" s="72"/>
      <c r="H45" s="66" t="s">
        <v>476</v>
      </c>
      <c r="I45" s="65"/>
      <c r="J45" s="66"/>
      <c r="K45" s="72" t="s">
        <v>478</v>
      </c>
      <c r="L45" s="73" t="s">
        <v>464</v>
      </c>
      <c r="M45" s="70" t="s">
        <v>7</v>
      </c>
      <c r="N45" s="77" t="s">
        <v>36</v>
      </c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A46" s="63" t="str">
        <f>IF(MID($L$1,3,1)="0",CONCATENATE("0",DEC2HEX(HEX2DEC(MID($L$1,3,3))+37)),DEC2HEX(HEX2DEC(MID($L$1,3,3))+37))</f>
        <v>4B5</v>
      </c>
      <c r="B46" s="68" t="s">
        <v>462</v>
      </c>
      <c r="C46" s="66" t="s">
        <v>476</v>
      </c>
      <c r="D46" s="66" t="s">
        <v>548</v>
      </c>
      <c r="E46" s="65" t="s">
        <v>3</v>
      </c>
      <c r="F46" s="66" t="s">
        <v>476</v>
      </c>
      <c r="G46" s="72"/>
      <c r="H46" s="66" t="s">
        <v>476</v>
      </c>
      <c r="I46" s="65" t="s">
        <v>306</v>
      </c>
      <c r="J46" s="66" t="s">
        <v>476</v>
      </c>
      <c r="K46" s="72" t="s">
        <v>478</v>
      </c>
      <c r="L46" s="73" t="s">
        <v>464</v>
      </c>
      <c r="M46" s="70" t="s">
        <v>514</v>
      </c>
      <c r="N46" s="77" t="s">
        <v>82</v>
      </c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A47" s="63" t="str">
        <f>IF(MID($L$1,3,1)="0",CONCATENATE("0",DEC2HEX(HEX2DEC(MID($L$1,3,3))+38)),DEC2HEX(HEX2DEC(MID($L$1,3,3))+38))</f>
        <v>4B6</v>
      </c>
      <c r="B47" s="68" t="s">
        <v>462</v>
      </c>
      <c r="C47" s="66" t="s">
        <v>476</v>
      </c>
      <c r="D47" s="66" t="s">
        <v>476</v>
      </c>
      <c r="E47" s="65" t="s">
        <v>476</v>
      </c>
      <c r="F47" s="66" t="s">
        <v>476</v>
      </c>
      <c r="G47" s="72"/>
      <c r="H47" s="66" t="s">
        <v>476</v>
      </c>
      <c r="I47" s="65" t="s">
        <v>310</v>
      </c>
      <c r="J47" s="66" t="s">
        <v>308</v>
      </c>
      <c r="K47" s="72" t="s">
        <v>463</v>
      </c>
      <c r="L47" s="73" t="s">
        <v>464</v>
      </c>
      <c r="M47" s="70" t="s">
        <v>509</v>
      </c>
      <c r="N47" s="77" t="s">
        <v>679</v>
      </c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s="60" customFormat="1" ht="15" thickBot="1" x14ac:dyDescent="0.35">
      <c r="A48" s="63" t="str">
        <f>IF(MID($L$1,3,1)="0",CONCATENATE("0",DEC2HEX(HEX2DEC(MID($L$1,3,3))+39)),DEC2HEX(HEX2DEC(MID($L$1,3,3))+39))</f>
        <v>4B7</v>
      </c>
      <c r="B48" s="68" t="s">
        <v>462</v>
      </c>
      <c r="C48" s="66" t="s">
        <v>476</v>
      </c>
      <c r="D48" s="66" t="s">
        <v>476</v>
      </c>
      <c r="E48" s="65" t="s">
        <v>476</v>
      </c>
      <c r="F48" s="66" t="s">
        <v>476</v>
      </c>
      <c r="G48" s="72"/>
      <c r="H48" s="66" t="s">
        <v>476</v>
      </c>
      <c r="I48" s="65" t="s">
        <v>476</v>
      </c>
      <c r="J48" s="66" t="s">
        <v>476</v>
      </c>
      <c r="K48" s="72" t="s">
        <v>463</v>
      </c>
      <c r="L48" s="73" t="s">
        <v>464</v>
      </c>
      <c r="M48" s="70" t="s">
        <v>7</v>
      </c>
      <c r="N48" s="75" t="s">
        <v>36</v>
      </c>
      <c r="O48" s="61"/>
      <c r="P48" s="62"/>
      <c r="Q48" s="62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5" thickBot="1" x14ac:dyDescent="0.35">
      <c r="A49" s="82" t="s">
        <v>669</v>
      </c>
      <c r="B49" s="83"/>
      <c r="C49" s="84" t="s">
        <v>476</v>
      </c>
      <c r="D49" s="84"/>
      <c r="E49" s="84" t="s">
        <v>476</v>
      </c>
      <c r="F49" s="84" t="s">
        <v>476</v>
      </c>
      <c r="G49" s="83"/>
      <c r="H49" s="84" t="s">
        <v>476</v>
      </c>
      <c r="I49" s="84" t="s">
        <v>476</v>
      </c>
      <c r="J49" s="84" t="s">
        <v>476</v>
      </c>
      <c r="K49" s="83"/>
      <c r="L49" s="83"/>
      <c r="M49" s="85"/>
      <c r="N49" s="86" t="s">
        <v>708</v>
      </c>
    </row>
    <row r="50" spans="1:37" x14ac:dyDescent="0.3">
      <c r="A50" s="63" t="str">
        <f>IF(MID($L$1,3,1)="0",CONCATENATE("0",DEC2HEX(HEX2DEC(MID($L$1,3,3))+40)),DEC2HEX(HEX2DEC(MID($L$1,3,3))+40))</f>
        <v>4B8</v>
      </c>
      <c r="B50" s="68" t="s">
        <v>462</v>
      </c>
      <c r="C50" s="65" t="s">
        <v>476</v>
      </c>
      <c r="D50" s="65"/>
      <c r="E50" s="65"/>
      <c r="F50" s="65" t="s">
        <v>476</v>
      </c>
      <c r="G50" s="68"/>
      <c r="H50" s="66" t="s">
        <v>476</v>
      </c>
      <c r="I50" s="65" t="s">
        <v>312</v>
      </c>
      <c r="J50" s="65" t="s">
        <v>316</v>
      </c>
      <c r="K50" s="68" t="s">
        <v>463</v>
      </c>
      <c r="L50" s="69" t="s">
        <v>464</v>
      </c>
      <c r="M50" s="138" t="s">
        <v>705</v>
      </c>
      <c r="N50" s="71" t="s">
        <v>50</v>
      </c>
    </row>
    <row r="51" spans="1:37" x14ac:dyDescent="0.3">
      <c r="A51" s="63" t="str">
        <f>IF(MID($L$1,3,1)="0",CONCATENATE("0",DEC2HEX(HEX2DEC(MID($L$1,3,3))+41)),DEC2HEX(HEX2DEC(MID($L$1,3,3))+41))</f>
        <v>4B9</v>
      </c>
      <c r="B51" s="68" t="s">
        <v>462</v>
      </c>
      <c r="C51" s="66" t="s">
        <v>476</v>
      </c>
      <c r="D51" s="66" t="s">
        <v>476</v>
      </c>
      <c r="E51" s="65" t="s">
        <v>476</v>
      </c>
      <c r="F51" s="66" t="s">
        <v>476</v>
      </c>
      <c r="G51" s="72"/>
      <c r="H51" s="66"/>
      <c r="I51" s="65" t="s">
        <v>313</v>
      </c>
      <c r="J51" s="65" t="s">
        <v>311</v>
      </c>
      <c r="K51" s="72" t="s">
        <v>478</v>
      </c>
      <c r="L51" s="73" t="s">
        <v>464</v>
      </c>
      <c r="M51" s="70" t="s">
        <v>510</v>
      </c>
      <c r="N51" s="74" t="s">
        <v>680</v>
      </c>
    </row>
    <row r="52" spans="1:37" x14ac:dyDescent="0.3">
      <c r="A52" s="63" t="str">
        <f>IF(MID($L$1,3,1)="0",CONCATENATE("0",DEC2HEX(HEX2DEC(MID($L$1,3,3))+42)),DEC2HEX(HEX2DEC(MID($L$1,3,3))+42))</f>
        <v>4BA</v>
      </c>
      <c r="B52" s="68" t="s">
        <v>462</v>
      </c>
      <c r="C52" s="66" t="s">
        <v>476</v>
      </c>
      <c r="D52" s="66" t="s">
        <v>476</v>
      </c>
      <c r="E52" s="65" t="s">
        <v>476</v>
      </c>
      <c r="F52" s="66" t="s">
        <v>476</v>
      </c>
      <c r="G52" s="72"/>
      <c r="H52" s="66" t="s">
        <v>476</v>
      </c>
      <c r="I52" s="65" t="s">
        <v>488</v>
      </c>
      <c r="J52" s="66" t="s">
        <v>316</v>
      </c>
      <c r="K52" s="72" t="s">
        <v>478</v>
      </c>
      <c r="L52" s="73" t="s">
        <v>464</v>
      </c>
      <c r="M52" s="70" t="s">
        <v>527</v>
      </c>
      <c r="N52" s="74" t="s">
        <v>540</v>
      </c>
    </row>
    <row r="53" spans="1:37" x14ac:dyDescent="0.3">
      <c r="A53" s="63" t="str">
        <f>IF(MID($L$1,3,1)="0",CONCATENATE("0",DEC2HEX(HEX2DEC(MID($L$1,3,3))+43)),DEC2HEX(HEX2DEC(MID($L$1,3,3))+43))</f>
        <v>4BB</v>
      </c>
      <c r="B53" s="68" t="s">
        <v>462</v>
      </c>
      <c r="C53" s="66" t="s">
        <v>476</v>
      </c>
      <c r="D53" s="66" t="s">
        <v>476</v>
      </c>
      <c r="E53" s="65" t="s">
        <v>476</v>
      </c>
      <c r="F53" s="66" t="s">
        <v>476</v>
      </c>
      <c r="G53" s="72"/>
      <c r="H53" s="66" t="s">
        <v>296</v>
      </c>
      <c r="I53" s="65" t="s">
        <v>315</v>
      </c>
      <c r="J53" s="66" t="s">
        <v>476</v>
      </c>
      <c r="K53" s="72" t="s">
        <v>478</v>
      </c>
      <c r="L53" s="73" t="s">
        <v>464</v>
      </c>
      <c r="M53" s="70" t="s">
        <v>15</v>
      </c>
      <c r="N53" s="74" t="s">
        <v>704</v>
      </c>
    </row>
    <row r="54" spans="1:37" x14ac:dyDescent="0.3">
      <c r="A54" s="63" t="str">
        <f>IF(MID($L$1,3,1)="0",CONCATENATE("0",DEC2HEX(HEX2DEC(MID($L$1,3,3))+44)),DEC2HEX(HEX2DEC(MID($L$1,3,3))+44))</f>
        <v>4BC</v>
      </c>
      <c r="B54" s="68" t="s">
        <v>462</v>
      </c>
      <c r="C54" s="66" t="s">
        <v>476</v>
      </c>
      <c r="D54" s="66" t="s">
        <v>548</v>
      </c>
      <c r="E54" s="65" t="s">
        <v>5</v>
      </c>
      <c r="F54" s="66" t="s">
        <v>476</v>
      </c>
      <c r="G54" s="72"/>
      <c r="H54" s="66" t="s">
        <v>476</v>
      </c>
      <c r="I54" s="65" t="s">
        <v>306</v>
      </c>
      <c r="J54" s="66"/>
      <c r="K54" s="72" t="s">
        <v>478</v>
      </c>
      <c r="L54" s="73" t="s">
        <v>464</v>
      </c>
      <c r="M54" s="70" t="s">
        <v>498</v>
      </c>
      <c r="N54" s="77" t="s">
        <v>43</v>
      </c>
    </row>
    <row r="55" spans="1:37" x14ac:dyDescent="0.3">
      <c r="A55" s="63" t="str">
        <f>IF(MID($L$1,3,1)="0",CONCATENATE("0",DEC2HEX(HEX2DEC(MID($L$1,3,3))+45)),DEC2HEX(HEX2DEC(MID($L$1,3,3))+45))</f>
        <v>4BD</v>
      </c>
      <c r="B55" s="68" t="s">
        <v>462</v>
      </c>
      <c r="C55" s="66" t="s">
        <v>476</v>
      </c>
      <c r="D55" s="66"/>
      <c r="E55" s="65"/>
      <c r="F55" s="66"/>
      <c r="G55" s="72"/>
      <c r="H55" s="66"/>
      <c r="I55" s="65" t="s">
        <v>307</v>
      </c>
      <c r="J55" s="66" t="s">
        <v>316</v>
      </c>
      <c r="K55" s="72" t="s">
        <v>478</v>
      </c>
      <c r="L55" s="73" t="s">
        <v>464</v>
      </c>
      <c r="M55" s="70" t="s">
        <v>495</v>
      </c>
      <c r="N55" s="77" t="s">
        <v>45</v>
      </c>
    </row>
    <row r="56" spans="1:37" x14ac:dyDescent="0.3">
      <c r="A56" s="63" t="str">
        <f>IF(MID($L$1,3,1)="0",CONCATENATE("0",DEC2HEX(HEX2DEC(MID($L$1,3,3))+46)),DEC2HEX(HEX2DEC(MID($L$1,3,3))+46))</f>
        <v>4BE</v>
      </c>
      <c r="B56" s="68" t="s">
        <v>462</v>
      </c>
      <c r="C56" s="66" t="s">
        <v>476</v>
      </c>
      <c r="D56" s="66" t="s">
        <v>548</v>
      </c>
      <c r="E56" s="65" t="s">
        <v>3</v>
      </c>
      <c r="F56" s="66" t="s">
        <v>476</v>
      </c>
      <c r="G56" s="72"/>
      <c r="H56" s="66" t="s">
        <v>476</v>
      </c>
      <c r="I56" s="65" t="s">
        <v>488</v>
      </c>
      <c r="J56" s="66"/>
      <c r="K56" s="72" t="s">
        <v>463</v>
      </c>
      <c r="L56" s="73" t="s">
        <v>464</v>
      </c>
      <c r="M56" s="70" t="s">
        <v>655</v>
      </c>
      <c r="N56" s="77" t="s">
        <v>700</v>
      </c>
    </row>
    <row r="57" spans="1:37" s="60" customFormat="1" ht="15" thickBot="1" x14ac:dyDescent="0.35">
      <c r="A57" s="63" t="str">
        <f>IF(MID($L$1,3,1)="0",CONCATENATE("0",DEC2HEX(HEX2DEC(MID($L$1,3,3))+47)),DEC2HEX(HEX2DEC(MID($L$1,3,3))+47))</f>
        <v>4BF</v>
      </c>
      <c r="B57" s="79" t="s">
        <v>462</v>
      </c>
      <c r="C57" s="67" t="s">
        <v>476</v>
      </c>
      <c r="D57" s="67" t="s">
        <v>476</v>
      </c>
      <c r="E57" s="99" t="s">
        <v>476</v>
      </c>
      <c r="F57" s="67" t="s">
        <v>476</v>
      </c>
      <c r="G57" s="79"/>
      <c r="H57" s="67" t="s">
        <v>298</v>
      </c>
      <c r="I57" s="99" t="s">
        <v>315</v>
      </c>
      <c r="J57" s="67" t="s">
        <v>476</v>
      </c>
      <c r="K57" s="72" t="s">
        <v>463</v>
      </c>
      <c r="L57" s="73" t="s">
        <v>464</v>
      </c>
      <c r="M57" s="70" t="s">
        <v>151</v>
      </c>
      <c r="N57" s="75" t="s">
        <v>731</v>
      </c>
      <c r="O57" s="61"/>
      <c r="P57" s="62"/>
      <c r="Q57" s="62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5.6" thickTop="1" thickBot="1" x14ac:dyDescent="0.35">
      <c r="A58" s="82" t="s">
        <v>670</v>
      </c>
      <c r="B58" s="83"/>
      <c r="C58" s="84" t="s">
        <v>476</v>
      </c>
      <c r="D58" s="84"/>
      <c r="E58" s="84" t="s">
        <v>476</v>
      </c>
      <c r="F58" s="84" t="s">
        <v>476</v>
      </c>
      <c r="G58" s="83"/>
      <c r="H58" s="84" t="s">
        <v>476</v>
      </c>
      <c r="I58" s="84" t="s">
        <v>476</v>
      </c>
      <c r="J58" s="84" t="s">
        <v>476</v>
      </c>
      <c r="K58" s="83"/>
      <c r="L58" s="83"/>
      <c r="M58" s="85"/>
      <c r="N58" s="86" t="s">
        <v>724</v>
      </c>
    </row>
    <row r="59" spans="1:37" x14ac:dyDescent="0.3">
      <c r="A59" s="63" t="str">
        <f>IF(MID($L$1,3,1)="0",CONCATENATE("0",DEC2HEX(HEX2DEC(MID($L$1,3,3))+48)),DEC2HEX(HEX2DEC(MID($L$1,3,3))+48))</f>
        <v>4C0</v>
      </c>
      <c r="B59" s="68" t="s">
        <v>462</v>
      </c>
      <c r="C59" s="65" t="s">
        <v>476</v>
      </c>
      <c r="D59" s="65"/>
      <c r="E59" s="65"/>
      <c r="F59" s="65" t="s">
        <v>476</v>
      </c>
      <c r="G59" s="68"/>
      <c r="H59" s="66" t="s">
        <v>476</v>
      </c>
      <c r="I59" s="65" t="s">
        <v>312</v>
      </c>
      <c r="J59" s="65" t="s">
        <v>316</v>
      </c>
      <c r="K59" s="68" t="s">
        <v>463</v>
      </c>
      <c r="L59" s="69" t="s">
        <v>464</v>
      </c>
      <c r="M59" s="70" t="s">
        <v>705</v>
      </c>
      <c r="N59" s="71" t="s">
        <v>729</v>
      </c>
    </row>
    <row r="60" spans="1:37" x14ac:dyDescent="0.3">
      <c r="A60" s="63" t="str">
        <f>IF(MID($L$1,3,1)="0",CONCATENATE("0",DEC2HEX(HEX2DEC(MID($L$1,3,3))+49)),DEC2HEX(HEX2DEC(MID($L$1,3,3))+49))</f>
        <v>4C1</v>
      </c>
      <c r="B60" s="68" t="s">
        <v>462</v>
      </c>
      <c r="C60" s="66" t="s">
        <v>476</v>
      </c>
      <c r="D60" s="66" t="s">
        <v>476</v>
      </c>
      <c r="E60" s="65" t="s">
        <v>476</v>
      </c>
      <c r="F60" s="66" t="s">
        <v>476</v>
      </c>
      <c r="G60" s="72"/>
      <c r="H60" s="66"/>
      <c r="I60" s="65" t="s">
        <v>313</v>
      </c>
      <c r="J60" s="65" t="s">
        <v>487</v>
      </c>
      <c r="K60" s="72" t="s">
        <v>463</v>
      </c>
      <c r="L60" s="73" t="s">
        <v>464</v>
      </c>
      <c r="M60" s="70" t="s">
        <v>14</v>
      </c>
      <c r="N60" s="77" t="s">
        <v>683</v>
      </c>
    </row>
    <row r="61" spans="1:37" x14ac:dyDescent="0.3">
      <c r="A61" s="63" t="str">
        <f>IF(MID($L$1,3,1)="0",CONCATENATE("0",DEC2HEX(HEX2DEC(MID($L$1,3,3))+50)),DEC2HEX(HEX2DEC(MID($L$1,3,3))+50))</f>
        <v>4C2</v>
      </c>
      <c r="B61" s="68" t="s">
        <v>462</v>
      </c>
      <c r="C61" s="66" t="s">
        <v>476</v>
      </c>
      <c r="D61" s="66" t="s">
        <v>548</v>
      </c>
      <c r="E61" s="65" t="s">
        <v>663</v>
      </c>
      <c r="F61" s="66" t="s">
        <v>476</v>
      </c>
      <c r="G61" s="72"/>
      <c r="H61" s="66" t="s">
        <v>476</v>
      </c>
      <c r="I61" s="65" t="s">
        <v>306</v>
      </c>
      <c r="J61" s="66" t="s">
        <v>476</v>
      </c>
      <c r="K61" s="72" t="s">
        <v>463</v>
      </c>
      <c r="L61" s="73" t="s">
        <v>464</v>
      </c>
      <c r="M61" s="70" t="s">
        <v>665</v>
      </c>
      <c r="N61" s="77" t="s">
        <v>664</v>
      </c>
    </row>
    <row r="62" spans="1:37" x14ac:dyDescent="0.3">
      <c r="A62" s="63" t="str">
        <f>IF(MID($L$1,3,1)="0",CONCATENATE("0",DEC2HEX(HEX2DEC(MID($L$1,3,3))+51)),DEC2HEX(HEX2DEC(MID($L$1,3,3))+51))</f>
        <v>4C3</v>
      </c>
      <c r="B62" s="68" t="s">
        <v>462</v>
      </c>
      <c r="C62" s="66" t="s">
        <v>476</v>
      </c>
      <c r="D62" s="66" t="s">
        <v>476</v>
      </c>
      <c r="E62" s="65" t="s">
        <v>476</v>
      </c>
      <c r="F62" s="66" t="s">
        <v>476</v>
      </c>
      <c r="G62" s="72"/>
      <c r="H62" s="66" t="s">
        <v>476</v>
      </c>
      <c r="I62" s="65" t="s">
        <v>307</v>
      </c>
      <c r="J62" s="66" t="s">
        <v>314</v>
      </c>
      <c r="K62" s="72" t="s">
        <v>463</v>
      </c>
      <c r="L62" s="73" t="s">
        <v>464</v>
      </c>
      <c r="M62" s="70" t="s">
        <v>506</v>
      </c>
      <c r="N62" s="74" t="s">
        <v>718</v>
      </c>
    </row>
    <row r="63" spans="1:37" x14ac:dyDescent="0.3">
      <c r="A63" s="63" t="str">
        <f>IF(MID($L$1,3,1)="0",CONCATENATE("0",DEC2HEX(HEX2DEC(MID($L$1,3,3))+52)),DEC2HEX(HEX2DEC(MID($L$1,3,3))+52))</f>
        <v>4C4</v>
      </c>
      <c r="B63" s="68" t="s">
        <v>462</v>
      </c>
      <c r="C63" s="66" t="s">
        <v>476</v>
      </c>
      <c r="D63" s="65" t="s">
        <v>548</v>
      </c>
      <c r="E63" s="65" t="s">
        <v>5</v>
      </c>
      <c r="F63" s="65" t="s">
        <v>476</v>
      </c>
      <c r="G63" s="68"/>
      <c r="H63" s="66" t="s">
        <v>476</v>
      </c>
      <c r="I63" s="65" t="s">
        <v>306</v>
      </c>
      <c r="J63" s="65" t="s">
        <v>476</v>
      </c>
      <c r="K63" s="68" t="s">
        <v>463</v>
      </c>
      <c r="L63" s="69" t="s">
        <v>464</v>
      </c>
      <c r="M63" s="70" t="s">
        <v>498</v>
      </c>
      <c r="N63" s="71" t="s">
        <v>43</v>
      </c>
    </row>
    <row r="64" spans="1:37" x14ac:dyDescent="0.3">
      <c r="A64" s="63" t="str">
        <f>IF(MID($L$1,3,1)="0",CONCATENATE("0",DEC2HEX(HEX2DEC(MID($L$1,3,3))+53)),DEC2HEX(HEX2DEC(MID($L$1,3,3))+53))</f>
        <v>4C5</v>
      </c>
      <c r="B64" s="68" t="s">
        <v>462</v>
      </c>
      <c r="C64" s="66" t="s">
        <v>476</v>
      </c>
      <c r="D64" s="66" t="s">
        <v>476</v>
      </c>
      <c r="E64" s="65" t="s">
        <v>476</v>
      </c>
      <c r="F64" s="66" t="s">
        <v>476</v>
      </c>
      <c r="G64" s="72"/>
      <c r="H64" s="66" t="s">
        <v>476</v>
      </c>
      <c r="I64" s="65" t="s">
        <v>310</v>
      </c>
      <c r="J64" s="66" t="s">
        <v>308</v>
      </c>
      <c r="K64" s="72" t="s">
        <v>463</v>
      </c>
      <c r="L64" s="73" t="s">
        <v>464</v>
      </c>
      <c r="M64" s="70" t="s">
        <v>509</v>
      </c>
      <c r="N64" s="77" t="s">
        <v>710</v>
      </c>
    </row>
    <row r="65" spans="1:37" x14ac:dyDescent="0.3">
      <c r="A65" s="63" t="str">
        <f>IF(MID($L$1,3,1)="0",CONCATENATE("0",DEC2HEX(HEX2DEC(MID($L$1,3,3))+54)),DEC2HEX(HEX2DEC(MID($L$1,3,3))+54))</f>
        <v>4C6</v>
      </c>
      <c r="B65" s="68" t="s">
        <v>462</v>
      </c>
      <c r="C65" s="66" t="s">
        <v>476</v>
      </c>
      <c r="D65" s="66" t="s">
        <v>548</v>
      </c>
      <c r="E65" s="65" t="s">
        <v>663</v>
      </c>
      <c r="F65" s="66" t="s">
        <v>476</v>
      </c>
      <c r="G65" s="72"/>
      <c r="H65" s="66" t="s">
        <v>476</v>
      </c>
      <c r="I65" s="65" t="s">
        <v>306</v>
      </c>
      <c r="J65" s="66" t="s">
        <v>476</v>
      </c>
      <c r="K65" s="72" t="s">
        <v>463</v>
      </c>
      <c r="L65" s="73" t="s">
        <v>464</v>
      </c>
      <c r="M65" s="70" t="s">
        <v>665</v>
      </c>
      <c r="N65" s="77" t="s">
        <v>664</v>
      </c>
    </row>
    <row r="66" spans="1:37" s="60" customFormat="1" ht="15" thickBot="1" x14ac:dyDescent="0.35">
      <c r="A66" s="63" t="str">
        <f>IF(MID($L$1,3,1)="0",CONCATENATE("0",DEC2HEX(HEX2DEC(MID($L$1,3,3))+55)),DEC2HEX(HEX2DEC(MID($L$1,3,3))+55))</f>
        <v>4C7</v>
      </c>
      <c r="B66" s="68" t="s">
        <v>462</v>
      </c>
      <c r="C66" s="66" t="s">
        <v>476</v>
      </c>
      <c r="D66" s="66" t="s">
        <v>476</v>
      </c>
      <c r="E66" s="65" t="s">
        <v>476</v>
      </c>
      <c r="F66" s="66" t="s">
        <v>476</v>
      </c>
      <c r="G66" s="72"/>
      <c r="H66" s="66" t="s">
        <v>476</v>
      </c>
      <c r="I66" s="65" t="s">
        <v>476</v>
      </c>
      <c r="J66" s="66" t="s">
        <v>476</v>
      </c>
      <c r="K66" s="72" t="s">
        <v>463</v>
      </c>
      <c r="L66" s="73" t="s">
        <v>464</v>
      </c>
      <c r="M66" s="70" t="s">
        <v>7</v>
      </c>
      <c r="N66" s="75" t="s">
        <v>36</v>
      </c>
      <c r="O66" s="61"/>
      <c r="P66" s="62"/>
      <c r="Q66" s="62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5" thickBot="1" x14ac:dyDescent="0.35">
      <c r="A67" s="82" t="s">
        <v>671</v>
      </c>
      <c r="B67" s="83"/>
      <c r="C67" s="84" t="s">
        <v>476</v>
      </c>
      <c r="D67" s="84"/>
      <c r="E67" s="84" t="s">
        <v>476</v>
      </c>
      <c r="F67" s="84" t="s">
        <v>476</v>
      </c>
      <c r="G67" s="83"/>
      <c r="H67" s="84" t="s">
        <v>476</v>
      </c>
      <c r="I67" s="84" t="s">
        <v>476</v>
      </c>
      <c r="J67" s="84" t="s">
        <v>476</v>
      </c>
      <c r="K67" s="83"/>
      <c r="L67" s="83"/>
      <c r="M67" s="85"/>
      <c r="N67" s="86" t="s">
        <v>711</v>
      </c>
    </row>
    <row r="68" spans="1:37" x14ac:dyDescent="0.3">
      <c r="A68" s="63" t="str">
        <f>IF(MID($L$1,3,1)="0",CONCATENATE("0",DEC2HEX(HEX2DEC(MID($L$1,3,3))+56)),DEC2HEX(HEX2DEC(MID($L$1,3,3))+56))</f>
        <v>4C8</v>
      </c>
      <c r="B68" s="68" t="s">
        <v>462</v>
      </c>
      <c r="C68" s="65" t="s">
        <v>476</v>
      </c>
      <c r="D68" s="65"/>
      <c r="E68" s="65"/>
      <c r="F68" s="65" t="s">
        <v>476</v>
      </c>
      <c r="G68" s="68"/>
      <c r="H68" s="66" t="s">
        <v>476</v>
      </c>
      <c r="I68" s="65" t="s">
        <v>312</v>
      </c>
      <c r="J68" s="65" t="s">
        <v>308</v>
      </c>
      <c r="K68" s="68" t="s">
        <v>463</v>
      </c>
      <c r="L68" s="69" t="s">
        <v>464</v>
      </c>
      <c r="M68" s="70" t="s">
        <v>499</v>
      </c>
      <c r="N68" s="71" t="s">
        <v>709</v>
      </c>
    </row>
    <row r="69" spans="1:37" x14ac:dyDescent="0.3">
      <c r="A69" s="63" t="str">
        <f>IF(MID($L$1,3,1)="0",CONCATENATE("0",DEC2HEX(HEX2DEC(MID($L$1,3,3))+57)),DEC2HEX(HEX2DEC(MID($L$1,3,3))+57))</f>
        <v>4C9</v>
      </c>
      <c r="B69" s="68" t="s">
        <v>462</v>
      </c>
      <c r="C69" s="66" t="s">
        <v>476</v>
      </c>
      <c r="D69" s="66" t="s">
        <v>476</v>
      </c>
      <c r="E69" s="65" t="s">
        <v>476</v>
      </c>
      <c r="F69" s="66" t="s">
        <v>476</v>
      </c>
      <c r="G69" s="72"/>
      <c r="H69" s="66"/>
      <c r="I69" s="65" t="s">
        <v>313</v>
      </c>
      <c r="J69" s="65" t="s">
        <v>311</v>
      </c>
      <c r="K69" s="72" t="s">
        <v>478</v>
      </c>
      <c r="L69" s="73" t="s">
        <v>464</v>
      </c>
      <c r="M69" s="70" t="s">
        <v>510</v>
      </c>
      <c r="N69" s="74" t="s">
        <v>692</v>
      </c>
    </row>
    <row r="70" spans="1:37" x14ac:dyDescent="0.3">
      <c r="A70" s="63" t="str">
        <f>IF(MID($L$1,3,1)="0",CONCATENATE("0",DEC2HEX(HEX2DEC(MID($L$1,3,3))+58)),DEC2HEX(HEX2DEC(MID($L$1,3,3))+58))</f>
        <v>4CA</v>
      </c>
      <c r="B70" s="68" t="s">
        <v>462</v>
      </c>
      <c r="C70" s="66" t="s">
        <v>476</v>
      </c>
      <c r="D70" s="66" t="s">
        <v>476</v>
      </c>
      <c r="E70" s="65" t="s">
        <v>476</v>
      </c>
      <c r="F70" s="66" t="s">
        <v>476</v>
      </c>
      <c r="G70" s="72"/>
      <c r="H70" s="66" t="s">
        <v>476</v>
      </c>
      <c r="I70" s="65" t="s">
        <v>310</v>
      </c>
      <c r="J70" s="66" t="s">
        <v>316</v>
      </c>
      <c r="K70" s="72" t="s">
        <v>478</v>
      </c>
      <c r="L70" s="73" t="s">
        <v>464</v>
      </c>
      <c r="M70" s="70" t="s">
        <v>694</v>
      </c>
      <c r="N70" s="74" t="s">
        <v>723</v>
      </c>
    </row>
    <row r="71" spans="1:37" x14ac:dyDescent="0.3">
      <c r="A71" s="63" t="str">
        <f>IF(MID($L$1,3,1)="0",CONCATENATE("0",DEC2HEX(HEX2DEC(MID($L$1,3,3))+59)),DEC2HEX(HEX2DEC(MID($L$1,3,3))+59))</f>
        <v>4CB</v>
      </c>
      <c r="B71" s="68" t="s">
        <v>462</v>
      </c>
      <c r="C71" s="66" t="s">
        <v>476</v>
      </c>
      <c r="D71" s="66" t="s">
        <v>476</v>
      </c>
      <c r="E71" s="65" t="s">
        <v>476</v>
      </c>
      <c r="F71" s="66" t="s">
        <v>476</v>
      </c>
      <c r="G71" s="72"/>
      <c r="H71" s="66" t="s">
        <v>476</v>
      </c>
      <c r="I71" s="65" t="s">
        <v>488</v>
      </c>
      <c r="J71" s="66" t="s">
        <v>693</v>
      </c>
      <c r="K71" s="72" t="s">
        <v>478</v>
      </c>
      <c r="L71" s="73" t="s">
        <v>464</v>
      </c>
      <c r="M71" s="70" t="s">
        <v>694</v>
      </c>
      <c r="N71" s="74" t="s">
        <v>695</v>
      </c>
    </row>
    <row r="72" spans="1:37" x14ac:dyDescent="0.3">
      <c r="A72" s="63" t="str">
        <f>IF(MID($L$1,3,1)="0",CONCATENATE("0",DEC2HEX(HEX2DEC(MID($L$1,3,3))+60)),DEC2HEX(HEX2DEC(MID($L$1,3,3))+60))</f>
        <v>4CC</v>
      </c>
      <c r="B72" s="68" t="s">
        <v>462</v>
      </c>
      <c r="C72" s="66" t="s">
        <v>476</v>
      </c>
      <c r="D72" s="66" t="s">
        <v>476</v>
      </c>
      <c r="E72" s="65" t="s">
        <v>476</v>
      </c>
      <c r="F72" s="66" t="s">
        <v>476</v>
      </c>
      <c r="G72" s="72"/>
      <c r="H72" s="66" t="s">
        <v>297</v>
      </c>
      <c r="I72" s="65" t="s">
        <v>315</v>
      </c>
      <c r="J72" s="66" t="s">
        <v>476</v>
      </c>
      <c r="K72" s="72" t="s">
        <v>478</v>
      </c>
      <c r="L72" s="73" t="s">
        <v>464</v>
      </c>
      <c r="M72" s="70" t="s">
        <v>15</v>
      </c>
      <c r="N72" s="74" t="s">
        <v>696</v>
      </c>
    </row>
    <row r="73" spans="1:37" x14ac:dyDescent="0.3">
      <c r="A73" s="63" t="str">
        <f>IF(MID($L$1,3,1)="0",CONCATENATE("0",DEC2HEX(HEX2DEC(MID($L$1,3,3))+61)),DEC2HEX(HEX2DEC(MID($L$1,3,3))+61))</f>
        <v>4CD</v>
      </c>
      <c r="B73" s="68" t="s">
        <v>462</v>
      </c>
      <c r="C73" s="66" t="s">
        <v>476</v>
      </c>
      <c r="D73" s="66" t="s">
        <v>476</v>
      </c>
      <c r="E73" s="65" t="s">
        <v>476</v>
      </c>
      <c r="F73" s="66" t="s">
        <v>476</v>
      </c>
      <c r="G73" s="72"/>
      <c r="H73" s="66" t="s">
        <v>476</v>
      </c>
      <c r="I73" s="65" t="s">
        <v>307</v>
      </c>
      <c r="J73" s="66" t="s">
        <v>316</v>
      </c>
      <c r="K73" s="72" t="s">
        <v>478</v>
      </c>
      <c r="L73" s="73" t="s">
        <v>464</v>
      </c>
      <c r="M73" s="70" t="s">
        <v>495</v>
      </c>
      <c r="N73" s="77" t="s">
        <v>697</v>
      </c>
    </row>
    <row r="74" spans="1:37" x14ac:dyDescent="0.3">
      <c r="A74" s="63" t="str">
        <f>IF(MID($L$1,3,1)="0",CONCATENATE("0",DEC2HEX(HEX2DEC(MID($L$1,3,3))+62)),DEC2HEX(HEX2DEC(MID($L$1,3,3))+62))</f>
        <v>4CE</v>
      </c>
      <c r="B74" s="68" t="s">
        <v>462</v>
      </c>
      <c r="C74" s="66" t="s">
        <v>476</v>
      </c>
      <c r="D74" s="66" t="s">
        <v>476</v>
      </c>
      <c r="E74" s="65" t="s">
        <v>476</v>
      </c>
      <c r="F74" s="66" t="s">
        <v>476</v>
      </c>
      <c r="G74" s="72"/>
      <c r="H74" s="66" t="s">
        <v>476</v>
      </c>
      <c r="I74" s="65" t="s">
        <v>476</v>
      </c>
      <c r="J74" s="66" t="s">
        <v>476</v>
      </c>
      <c r="K74" s="72" t="s">
        <v>463</v>
      </c>
      <c r="L74" s="73" t="s">
        <v>464</v>
      </c>
      <c r="M74" s="70" t="s">
        <v>7</v>
      </c>
      <c r="N74" s="77" t="s">
        <v>36</v>
      </c>
    </row>
    <row r="75" spans="1:37" ht="15" thickBot="1" x14ac:dyDescent="0.35">
      <c r="A75" s="63" t="str">
        <f>IF(MID($L$1,3,1)="0",CONCATENATE("0",DEC2HEX(HEX2DEC(MID($L$1,3,3))+63)),DEC2HEX(HEX2DEC(MID($L$1,3,3))+63))</f>
        <v>4CF</v>
      </c>
      <c r="B75" s="68" t="s">
        <v>462</v>
      </c>
      <c r="C75" s="66" t="s">
        <v>476</v>
      </c>
      <c r="D75" s="66" t="s">
        <v>476</v>
      </c>
      <c r="E75" s="65" t="s">
        <v>476</v>
      </c>
      <c r="F75" s="66" t="s">
        <v>476</v>
      </c>
      <c r="G75" s="72"/>
      <c r="H75" s="66" t="s">
        <v>476</v>
      </c>
      <c r="I75" s="65" t="s">
        <v>476</v>
      </c>
      <c r="J75" s="66" t="s">
        <v>476</v>
      </c>
      <c r="K75" s="72" t="s">
        <v>463</v>
      </c>
      <c r="L75" s="73" t="s">
        <v>464</v>
      </c>
      <c r="M75" s="70" t="s">
        <v>7</v>
      </c>
      <c r="N75" s="75" t="s">
        <v>36</v>
      </c>
    </row>
    <row r="76" spans="1:37" ht="15" thickBot="1" x14ac:dyDescent="0.35">
      <c r="A76" s="82" t="s">
        <v>684</v>
      </c>
      <c r="B76" s="83"/>
      <c r="C76" s="84" t="s">
        <v>476</v>
      </c>
      <c r="D76" s="84"/>
      <c r="E76" s="84" t="s">
        <v>476</v>
      </c>
      <c r="F76" s="84" t="s">
        <v>476</v>
      </c>
      <c r="G76" s="83"/>
      <c r="H76" s="84" t="s">
        <v>476</v>
      </c>
      <c r="I76" s="84" t="s">
        <v>476</v>
      </c>
      <c r="J76" s="84" t="s">
        <v>476</v>
      </c>
      <c r="K76" s="83"/>
      <c r="L76" s="83"/>
      <c r="M76" s="85"/>
      <c r="N76" s="86" t="s">
        <v>712</v>
      </c>
    </row>
    <row r="77" spans="1:37" x14ac:dyDescent="0.3">
      <c r="A77" s="63" t="str">
        <f>IF(MID($L$1,3,1)="0",CONCATENATE("0",DEC2HEX(HEX2DEC(MID($L$1,3,3))+64)),DEC2HEX(HEX2DEC(MID($L$1,3,3))+64))</f>
        <v>4D0</v>
      </c>
      <c r="B77" s="68" t="s">
        <v>462</v>
      </c>
      <c r="C77" s="65" t="s">
        <v>476</v>
      </c>
      <c r="D77" s="65"/>
      <c r="E77" s="65"/>
      <c r="F77" s="65" t="s">
        <v>476</v>
      </c>
      <c r="G77" s="68"/>
      <c r="H77" s="66" t="s">
        <v>476</v>
      </c>
      <c r="I77" s="65" t="s">
        <v>312</v>
      </c>
      <c r="J77" s="65" t="s">
        <v>308</v>
      </c>
      <c r="K77" s="68" t="s">
        <v>463</v>
      </c>
      <c r="L77" s="69" t="s">
        <v>464</v>
      </c>
      <c r="M77" s="70" t="s">
        <v>499</v>
      </c>
      <c r="N77" s="71" t="s">
        <v>709</v>
      </c>
    </row>
    <row r="78" spans="1:37" x14ac:dyDescent="0.3">
      <c r="A78" s="63" t="str">
        <f>IF(MID($L$1,3,1)="0",CONCATENATE("0",DEC2HEX(HEX2DEC(MID($L$1,3,3))+65)),DEC2HEX(HEX2DEC(MID($L$1,3,3))+65))</f>
        <v>4D1</v>
      </c>
      <c r="B78" s="68" t="s">
        <v>462</v>
      </c>
      <c r="C78" s="66" t="s">
        <v>476</v>
      </c>
      <c r="D78" s="66" t="s">
        <v>476</v>
      </c>
      <c r="E78" s="65" t="s">
        <v>476</v>
      </c>
      <c r="F78" s="66" t="s">
        <v>476</v>
      </c>
      <c r="G78" s="72"/>
      <c r="H78" s="66"/>
      <c r="I78" s="65" t="s">
        <v>313</v>
      </c>
      <c r="J78" s="65" t="s">
        <v>487</v>
      </c>
      <c r="K78" s="72" t="s">
        <v>463</v>
      </c>
      <c r="L78" s="73" t="s">
        <v>464</v>
      </c>
      <c r="M78" s="70" t="s">
        <v>14</v>
      </c>
      <c r="N78" s="77" t="s">
        <v>683</v>
      </c>
    </row>
    <row r="79" spans="1:37" x14ac:dyDescent="0.3">
      <c r="A79" s="63" t="str">
        <f>IF(MID($L$1,3,1)="0",CONCATENATE("0",DEC2HEX(HEX2DEC(MID($L$1,3,3))+66)),DEC2HEX(HEX2DEC(MID($L$1,3,3))+66))</f>
        <v>4D2</v>
      </c>
      <c r="B79" s="68" t="s">
        <v>462</v>
      </c>
      <c r="C79" s="66" t="s">
        <v>476</v>
      </c>
      <c r="D79" s="66" t="s">
        <v>548</v>
      </c>
      <c r="E79" s="65" t="s">
        <v>3</v>
      </c>
      <c r="F79" s="66" t="s">
        <v>476</v>
      </c>
      <c r="G79" s="72"/>
      <c r="H79" s="66" t="s">
        <v>476</v>
      </c>
      <c r="I79" s="65" t="s">
        <v>306</v>
      </c>
      <c r="J79" s="66" t="s">
        <v>476</v>
      </c>
      <c r="K79" s="72" t="s">
        <v>463</v>
      </c>
      <c r="L79" s="73" t="s">
        <v>464</v>
      </c>
      <c r="M79" s="70" t="s">
        <v>514</v>
      </c>
      <c r="N79" s="77" t="s">
        <v>82</v>
      </c>
    </row>
    <row r="80" spans="1:37" x14ac:dyDescent="0.3">
      <c r="A80" s="63" t="str">
        <f>IF(MID($L$1,3,1)="0",CONCATENATE("0",DEC2HEX(HEX2DEC(MID($L$1,3,3))+67)),DEC2HEX(HEX2DEC(MID($L$1,3,3))+67))</f>
        <v>4D3</v>
      </c>
      <c r="B80" s="68" t="s">
        <v>462</v>
      </c>
      <c r="C80" s="66" t="s">
        <v>476</v>
      </c>
      <c r="D80" s="66" t="s">
        <v>476</v>
      </c>
      <c r="E80" s="65" t="s">
        <v>476</v>
      </c>
      <c r="F80" s="66" t="s">
        <v>476</v>
      </c>
      <c r="G80" s="72"/>
      <c r="H80" s="66"/>
      <c r="I80" s="65" t="s">
        <v>307</v>
      </c>
      <c r="J80" s="66" t="s">
        <v>314</v>
      </c>
      <c r="K80" s="72" t="s">
        <v>463</v>
      </c>
      <c r="L80" s="73" t="s">
        <v>464</v>
      </c>
      <c r="M80" s="70" t="s">
        <v>698</v>
      </c>
      <c r="N80" s="74" t="s">
        <v>699</v>
      </c>
    </row>
    <row r="81" spans="1:14" x14ac:dyDescent="0.3">
      <c r="A81" s="63" t="str">
        <f>IF(MID($L$1,3,1)="0",CONCATENATE("0",DEC2HEX(HEX2DEC(MID($L$1,3,3))+68)),DEC2HEX(HEX2DEC(MID($L$1,3,3))+68))</f>
        <v>4D4</v>
      </c>
      <c r="B81" s="68" t="s">
        <v>462</v>
      </c>
      <c r="C81" s="66" t="s">
        <v>476</v>
      </c>
      <c r="D81" s="66" t="s">
        <v>548</v>
      </c>
      <c r="E81" s="65" t="s">
        <v>3</v>
      </c>
      <c r="F81" s="66" t="s">
        <v>476</v>
      </c>
      <c r="G81" s="72"/>
      <c r="H81" s="66"/>
      <c r="I81" s="65" t="s">
        <v>488</v>
      </c>
      <c r="J81" s="66"/>
      <c r="K81" s="72" t="s">
        <v>463</v>
      </c>
      <c r="L81" s="73" t="s">
        <v>464</v>
      </c>
      <c r="M81" s="70" t="s">
        <v>655</v>
      </c>
      <c r="N81" s="77" t="s">
        <v>700</v>
      </c>
    </row>
    <row r="82" spans="1:14" x14ac:dyDescent="0.3">
      <c r="A82" s="63" t="str">
        <f>IF(MID($L$1,3,1)="0",CONCATENATE("0",DEC2HEX(HEX2DEC(MID($L$1,3,3))+69)),DEC2HEX(HEX2DEC(MID($L$1,3,3))+69))</f>
        <v>4D5</v>
      </c>
      <c r="B82" s="68" t="s">
        <v>462</v>
      </c>
      <c r="C82" s="66" t="s">
        <v>476</v>
      </c>
      <c r="D82" s="66" t="s">
        <v>476</v>
      </c>
      <c r="E82" s="65" t="s">
        <v>476</v>
      </c>
      <c r="F82" s="66" t="s">
        <v>476</v>
      </c>
      <c r="G82" s="72"/>
      <c r="H82" s="66" t="s">
        <v>476</v>
      </c>
      <c r="I82" s="65" t="s">
        <v>489</v>
      </c>
      <c r="J82" s="66" t="s">
        <v>308</v>
      </c>
      <c r="K82" s="72" t="s">
        <v>463</v>
      </c>
      <c r="L82" s="73" t="s">
        <v>464</v>
      </c>
      <c r="M82" s="70" t="s">
        <v>521</v>
      </c>
      <c r="N82" s="77" t="s">
        <v>715</v>
      </c>
    </row>
    <row r="83" spans="1:14" x14ac:dyDescent="0.3">
      <c r="A83" s="63" t="str">
        <f>IF(MID($L$1,3,1)="0",CONCATENATE("0",DEC2HEX(HEX2DEC(MID($L$1,3,3))+70)),DEC2HEX(HEX2DEC(MID($L$1,3,3))+70))</f>
        <v>4D6</v>
      </c>
      <c r="B83" s="68" t="s">
        <v>462</v>
      </c>
      <c r="C83" s="66" t="s">
        <v>476</v>
      </c>
      <c r="D83" s="66" t="s">
        <v>476</v>
      </c>
      <c r="E83" s="65" t="s">
        <v>476</v>
      </c>
      <c r="F83" s="66" t="s">
        <v>479</v>
      </c>
      <c r="G83" s="72"/>
      <c r="H83" s="66" t="s">
        <v>298</v>
      </c>
      <c r="I83" s="65" t="s">
        <v>315</v>
      </c>
      <c r="J83" s="66"/>
      <c r="K83" s="72" t="s">
        <v>463</v>
      </c>
      <c r="L83" s="73" t="s">
        <v>464</v>
      </c>
      <c r="M83" s="70" t="s">
        <v>151</v>
      </c>
      <c r="N83" s="77" t="s">
        <v>732</v>
      </c>
    </row>
    <row r="84" spans="1:14" ht="15" thickBot="1" x14ac:dyDescent="0.35">
      <c r="A84" s="63" t="str">
        <f>IF(MID($L$1,3,1)="0",CONCATENATE("0",DEC2HEX(HEX2DEC(MID($L$1,3,3))+71)),DEC2HEX(HEX2DEC(MID($L$1,3,3))+71))</f>
        <v>4D7</v>
      </c>
      <c r="B84" s="68" t="s">
        <v>462</v>
      </c>
      <c r="C84" s="66" t="s">
        <v>476</v>
      </c>
      <c r="D84" s="65" t="s">
        <v>548</v>
      </c>
      <c r="E84" s="65" t="s">
        <v>663</v>
      </c>
      <c r="F84" s="65" t="s">
        <v>476</v>
      </c>
      <c r="G84" s="68"/>
      <c r="H84" s="66" t="s">
        <v>476</v>
      </c>
      <c r="I84" s="65" t="s">
        <v>306</v>
      </c>
      <c r="J84" s="65" t="s">
        <v>476</v>
      </c>
      <c r="K84" s="68" t="s">
        <v>463</v>
      </c>
      <c r="L84" s="69" t="s">
        <v>464</v>
      </c>
      <c r="M84" s="70" t="s">
        <v>665</v>
      </c>
      <c r="N84" s="71" t="s">
        <v>664</v>
      </c>
    </row>
    <row r="85" spans="1:14" ht="15" thickBot="1" x14ac:dyDescent="0.35">
      <c r="A85" s="82" t="s">
        <v>685</v>
      </c>
      <c r="B85" s="83"/>
      <c r="C85" s="84" t="s">
        <v>476</v>
      </c>
      <c r="D85" s="84"/>
      <c r="E85" s="84" t="s">
        <v>476</v>
      </c>
      <c r="F85" s="84" t="s">
        <v>476</v>
      </c>
      <c r="G85" s="83"/>
      <c r="H85" s="84" t="s">
        <v>476</v>
      </c>
      <c r="I85" s="84" t="s">
        <v>476</v>
      </c>
      <c r="J85" s="84" t="s">
        <v>476</v>
      </c>
      <c r="K85" s="83"/>
      <c r="L85" s="83"/>
      <c r="M85" s="85"/>
      <c r="N85" s="86" t="s">
        <v>733</v>
      </c>
    </row>
    <row r="86" spans="1:14" x14ac:dyDescent="0.3">
      <c r="A86" s="63" t="str">
        <f>IF(MID($L$1,3,1)="0",CONCATENATE("0",DEC2HEX(HEX2DEC(MID($L$1,3,3))+72)),DEC2HEX(HEX2DEC(MID($L$1,3,3))+72))</f>
        <v>4D8</v>
      </c>
      <c r="B86" s="68" t="s">
        <v>462</v>
      </c>
      <c r="C86" s="65" t="s">
        <v>476</v>
      </c>
      <c r="D86" s="65" t="s">
        <v>476</v>
      </c>
      <c r="E86" s="65" t="s">
        <v>455</v>
      </c>
      <c r="F86" s="65" t="s">
        <v>476</v>
      </c>
      <c r="G86" s="68" t="s">
        <v>481</v>
      </c>
      <c r="H86" s="66" t="s">
        <v>476</v>
      </c>
      <c r="I86" s="65" t="s">
        <v>476</v>
      </c>
      <c r="J86" s="65" t="s">
        <v>476</v>
      </c>
      <c r="K86" s="68" t="s">
        <v>463</v>
      </c>
      <c r="L86" s="69" t="s">
        <v>464</v>
      </c>
      <c r="M86" s="70" t="s">
        <v>442</v>
      </c>
      <c r="N86" s="76" t="s">
        <v>443</v>
      </c>
    </row>
    <row r="87" spans="1:14" x14ac:dyDescent="0.3">
      <c r="A87" s="63" t="str">
        <f>IF(MID($L$1,3,1)="0",CONCATENATE("0",DEC2HEX(HEX2DEC(MID($L$1,3,3))+73)),DEC2HEX(HEX2DEC(MID($L$1,3,3))+73))</f>
        <v>4D9</v>
      </c>
      <c r="B87" s="68" t="s">
        <v>462</v>
      </c>
      <c r="C87" s="66" t="s">
        <v>476</v>
      </c>
      <c r="D87" s="66"/>
      <c r="E87" s="65"/>
      <c r="F87" s="66"/>
      <c r="G87" s="72"/>
      <c r="H87" s="66"/>
      <c r="I87" s="65"/>
      <c r="J87" s="66"/>
      <c r="K87" s="72" t="s">
        <v>463</v>
      </c>
      <c r="L87" s="73" t="s">
        <v>464</v>
      </c>
      <c r="M87" s="70" t="s">
        <v>7</v>
      </c>
      <c r="N87" s="77" t="s">
        <v>36</v>
      </c>
    </row>
    <row r="88" spans="1:14" x14ac:dyDescent="0.3">
      <c r="A88" s="63" t="str">
        <f>IF(MID($L$1,3,1)="0",CONCATENATE("0",DEC2HEX(HEX2DEC(MID($L$1,3,3))+74)),DEC2HEX(HEX2DEC(MID($L$1,3,3))+74))</f>
        <v>4DA</v>
      </c>
      <c r="B88" s="68" t="s">
        <v>462</v>
      </c>
      <c r="C88" s="66" t="s">
        <v>476</v>
      </c>
      <c r="D88" s="66"/>
      <c r="E88" s="65"/>
      <c r="F88" s="66" t="s">
        <v>476</v>
      </c>
      <c r="G88" s="72"/>
      <c r="H88" s="66" t="s">
        <v>476</v>
      </c>
      <c r="I88" s="65" t="s">
        <v>488</v>
      </c>
      <c r="J88" s="66" t="s">
        <v>311</v>
      </c>
      <c r="K88" s="72" t="s">
        <v>463</v>
      </c>
      <c r="L88" s="73" t="s">
        <v>464</v>
      </c>
      <c r="M88" s="70" t="s">
        <v>530</v>
      </c>
      <c r="N88" s="77" t="s">
        <v>725</v>
      </c>
    </row>
    <row r="89" spans="1:14" x14ac:dyDescent="0.3">
      <c r="A89" s="63" t="str">
        <f>IF(MID($L$1,3,1)="0",CONCATENATE("0",DEC2HEX(HEX2DEC(MID($L$1,3,3))+75)),DEC2HEX(HEX2DEC(MID($L$1,3,3))+75))</f>
        <v>4DB</v>
      </c>
      <c r="B89" s="68" t="s">
        <v>462</v>
      </c>
      <c r="C89" s="66" t="s">
        <v>476</v>
      </c>
      <c r="D89" s="66" t="s">
        <v>476</v>
      </c>
      <c r="E89" s="65" t="s">
        <v>476</v>
      </c>
      <c r="F89" s="66" t="s">
        <v>476</v>
      </c>
      <c r="G89" s="72"/>
      <c r="H89" s="66" t="s">
        <v>297</v>
      </c>
      <c r="I89" s="65" t="s">
        <v>315</v>
      </c>
      <c r="J89" s="66" t="s">
        <v>476</v>
      </c>
      <c r="K89" s="72" t="s">
        <v>463</v>
      </c>
      <c r="L89" s="73" t="s">
        <v>464</v>
      </c>
      <c r="M89" s="70" t="s">
        <v>16</v>
      </c>
      <c r="N89" s="77" t="s">
        <v>726</v>
      </c>
    </row>
    <row r="90" spans="1:14" x14ac:dyDescent="0.3">
      <c r="A90" s="63" t="str">
        <f>IF(MID($L$1,3,1)="0",CONCATENATE("0",DEC2HEX(HEX2DEC(MID($L$1,3,3))+76)),DEC2HEX(HEX2DEC(MID($L$1,3,3))+76))</f>
        <v>4DC</v>
      </c>
      <c r="B90" s="68" t="s">
        <v>462</v>
      </c>
      <c r="C90" s="66" t="s">
        <v>476</v>
      </c>
      <c r="D90" s="66"/>
      <c r="E90" s="65"/>
      <c r="F90" s="66"/>
      <c r="G90" s="72"/>
      <c r="H90" s="66"/>
      <c r="I90" s="65" t="s">
        <v>307</v>
      </c>
      <c r="J90" s="66" t="s">
        <v>316</v>
      </c>
      <c r="K90" s="72" t="s">
        <v>463</v>
      </c>
      <c r="L90" s="69" t="s">
        <v>464</v>
      </c>
      <c r="M90" s="70" t="s">
        <v>495</v>
      </c>
      <c r="N90" s="77" t="s">
        <v>727</v>
      </c>
    </row>
    <row r="91" spans="1:14" x14ac:dyDescent="0.3">
      <c r="A91" s="63" t="str">
        <f>IF(MID($L$1,3,1)="0",CONCATENATE("0",DEC2HEX(HEX2DEC(MID($L$1,3,3))+77)),DEC2HEX(HEX2DEC(MID($L$1,3,3))+77))</f>
        <v>4DD</v>
      </c>
      <c r="B91" s="68" t="s">
        <v>462</v>
      </c>
      <c r="C91" s="66" t="s">
        <v>476</v>
      </c>
      <c r="D91" s="66"/>
      <c r="E91" s="65"/>
      <c r="F91" s="66"/>
      <c r="G91" s="72"/>
      <c r="H91" s="66"/>
      <c r="I91" s="65"/>
      <c r="J91" s="66"/>
      <c r="K91" s="72" t="s">
        <v>463</v>
      </c>
      <c r="L91" s="73" t="s">
        <v>464</v>
      </c>
      <c r="M91" s="70" t="s">
        <v>7</v>
      </c>
      <c r="N91" s="77" t="s">
        <v>36</v>
      </c>
    </row>
    <row r="92" spans="1:14" x14ac:dyDescent="0.3">
      <c r="A92" s="63" t="str">
        <f>IF(MID($L$1,3,1)="0",CONCATENATE("0",DEC2HEX(HEX2DEC(MID($L$1,3,3))+78)),DEC2HEX(HEX2DEC(MID($L$1,3,3))+78))</f>
        <v>4DE</v>
      </c>
      <c r="B92" s="68" t="s">
        <v>462</v>
      </c>
      <c r="C92" s="66" t="s">
        <v>476</v>
      </c>
      <c r="D92" s="66" t="s">
        <v>476</v>
      </c>
      <c r="E92" s="65" t="s">
        <v>476</v>
      </c>
      <c r="F92" s="66" t="s">
        <v>476</v>
      </c>
      <c r="G92" s="72"/>
      <c r="H92" s="66"/>
      <c r="I92" s="65"/>
      <c r="J92" s="66"/>
      <c r="K92" s="72" t="s">
        <v>463</v>
      </c>
      <c r="L92" s="73" t="s">
        <v>464</v>
      </c>
      <c r="M92" s="70" t="s">
        <v>7</v>
      </c>
      <c r="N92" s="77" t="s">
        <v>36</v>
      </c>
    </row>
    <row r="93" spans="1:14" ht="15" thickBot="1" x14ac:dyDescent="0.35">
      <c r="A93" s="63" t="str">
        <f>IF(MID($L$1,3,1)="0",CONCATENATE("0",DEC2HEX(HEX2DEC(MID($L$1,3,3))+79)),DEC2HEX(HEX2DEC(MID($L$1,3,3))+79))</f>
        <v>4DF</v>
      </c>
      <c r="B93" s="68" t="s">
        <v>462</v>
      </c>
      <c r="C93" s="66" t="s">
        <v>476</v>
      </c>
      <c r="D93" s="66" t="s">
        <v>476</v>
      </c>
      <c r="E93" s="65" t="s">
        <v>476</v>
      </c>
      <c r="F93" s="66" t="s">
        <v>476</v>
      </c>
      <c r="G93" s="72"/>
      <c r="H93" s="66" t="s">
        <v>476</v>
      </c>
      <c r="I93" s="65" t="s">
        <v>476</v>
      </c>
      <c r="J93" s="66" t="s">
        <v>476</v>
      </c>
      <c r="K93" s="72" t="s">
        <v>463</v>
      </c>
      <c r="L93" s="73" t="s">
        <v>464</v>
      </c>
      <c r="M93" s="70" t="s">
        <v>7</v>
      </c>
      <c r="N93" s="75" t="s">
        <v>36</v>
      </c>
    </row>
    <row r="94" spans="1:14" ht="15" thickBot="1" x14ac:dyDescent="0.35">
      <c r="A94" s="82" t="s">
        <v>686</v>
      </c>
      <c r="B94" s="83"/>
      <c r="C94" s="84" t="s">
        <v>476</v>
      </c>
      <c r="D94" s="84"/>
      <c r="E94" s="84" t="s">
        <v>476</v>
      </c>
      <c r="F94" s="84" t="s">
        <v>476</v>
      </c>
      <c r="G94" s="83"/>
      <c r="H94" s="84" t="s">
        <v>476</v>
      </c>
      <c r="I94" s="84" t="s">
        <v>476</v>
      </c>
      <c r="J94" s="84" t="s">
        <v>476</v>
      </c>
      <c r="K94" s="83"/>
      <c r="L94" s="83"/>
      <c r="M94" s="85"/>
      <c r="N94" s="86" t="s">
        <v>713</v>
      </c>
    </row>
    <row r="95" spans="1:14" x14ac:dyDescent="0.3">
      <c r="A95" s="63" t="str">
        <f>IF(MID($L$1,3,1)="0",CONCATENATE("0",DEC2HEX(HEX2DEC(MID($L$1,3,3))+80)),DEC2HEX(HEX2DEC(MID($L$1,3,3))+80))</f>
        <v>4E0</v>
      </c>
      <c r="B95" s="68" t="s">
        <v>462</v>
      </c>
      <c r="C95" s="65" t="s">
        <v>476</v>
      </c>
      <c r="D95" s="65"/>
      <c r="E95" s="65"/>
      <c r="F95" s="65" t="s">
        <v>476</v>
      </c>
      <c r="G95" s="68"/>
      <c r="H95" s="66" t="s">
        <v>476</v>
      </c>
      <c r="I95" s="65"/>
      <c r="J95" s="66"/>
      <c r="K95" s="68" t="s">
        <v>463</v>
      </c>
      <c r="L95" s="69" t="s">
        <v>464</v>
      </c>
      <c r="M95" s="70" t="s">
        <v>7</v>
      </c>
      <c r="N95" s="76" t="s">
        <v>456</v>
      </c>
    </row>
    <row r="96" spans="1:14" x14ac:dyDescent="0.3">
      <c r="A96" s="63" t="str">
        <f>IF(MID($L$1,3,1)="0",CONCATENATE("0",DEC2HEX(HEX2DEC(MID($L$1,3,3))+81)),DEC2HEX(HEX2DEC(MID($L$1,3,3))+81))</f>
        <v>4E1</v>
      </c>
      <c r="B96" s="68" t="s">
        <v>462</v>
      </c>
      <c r="C96" s="66" t="s">
        <v>476</v>
      </c>
      <c r="D96" s="66" t="s">
        <v>476</v>
      </c>
      <c r="E96" s="65" t="s">
        <v>476</v>
      </c>
      <c r="F96" s="66" t="s">
        <v>476</v>
      </c>
      <c r="G96" s="72"/>
      <c r="H96" s="66"/>
      <c r="I96" s="65" t="s">
        <v>312</v>
      </c>
      <c r="J96" s="65" t="s">
        <v>308</v>
      </c>
      <c r="K96" s="72" t="s">
        <v>463</v>
      </c>
      <c r="L96" s="73" t="s">
        <v>464</v>
      </c>
      <c r="M96" s="70" t="s">
        <v>499</v>
      </c>
      <c r="N96" s="77" t="s">
        <v>709</v>
      </c>
    </row>
    <row r="97" spans="1:14" x14ac:dyDescent="0.3">
      <c r="A97" s="63" t="str">
        <f>IF(MID($L$1,3,1)="0",CONCATENATE("0",DEC2HEX(HEX2DEC(MID($L$1,3,3))+82)),DEC2HEX(HEX2DEC(MID($L$1,3,3))+82))</f>
        <v>4E2</v>
      </c>
      <c r="B97" s="68" t="s">
        <v>462</v>
      </c>
      <c r="C97" s="66" t="s">
        <v>476</v>
      </c>
      <c r="D97" s="66" t="s">
        <v>476</v>
      </c>
      <c r="E97" s="65" t="s">
        <v>476</v>
      </c>
      <c r="F97" s="66" t="s">
        <v>476</v>
      </c>
      <c r="G97" s="72"/>
      <c r="H97" s="66" t="s">
        <v>476</v>
      </c>
      <c r="I97" s="65" t="s">
        <v>313</v>
      </c>
      <c r="J97" s="65" t="s">
        <v>487</v>
      </c>
      <c r="K97" s="72" t="s">
        <v>463</v>
      </c>
      <c r="L97" s="73" t="s">
        <v>464</v>
      </c>
      <c r="M97" s="70" t="s">
        <v>14</v>
      </c>
      <c r="N97" s="77" t="s">
        <v>683</v>
      </c>
    </row>
    <row r="98" spans="1:14" x14ac:dyDescent="0.3">
      <c r="A98" s="63" t="str">
        <f>IF(MID($L$1,3,1)="0",CONCATENATE("0",DEC2HEX(HEX2DEC(MID($L$1,3,3))+83)),DEC2HEX(HEX2DEC(MID($L$1,3,3))+83))</f>
        <v>4E3</v>
      </c>
      <c r="B98" s="68" t="s">
        <v>462</v>
      </c>
      <c r="C98" s="65" t="s">
        <v>476</v>
      </c>
      <c r="D98" s="65" t="s">
        <v>548</v>
      </c>
      <c r="E98" s="65" t="s">
        <v>5</v>
      </c>
      <c r="F98" s="65" t="s">
        <v>476</v>
      </c>
      <c r="G98" s="68"/>
      <c r="H98" s="66" t="s">
        <v>476</v>
      </c>
      <c r="I98" s="65" t="s">
        <v>306</v>
      </c>
      <c r="J98" s="65" t="s">
        <v>476</v>
      </c>
      <c r="K98" s="68" t="s">
        <v>463</v>
      </c>
      <c r="L98" s="69" t="s">
        <v>464</v>
      </c>
      <c r="M98" s="70" t="s">
        <v>498</v>
      </c>
      <c r="N98" s="71" t="s">
        <v>43</v>
      </c>
    </row>
    <row r="99" spans="1:14" x14ac:dyDescent="0.3">
      <c r="A99" s="63" t="str">
        <f>IF(MID($L$1,3,1)="0",CONCATENATE("0",DEC2HEX(HEX2DEC(MID($L$1,3,3))+84)),DEC2HEX(HEX2DEC(MID($L$1,3,3))+84))</f>
        <v>4E4</v>
      </c>
      <c r="B99" s="68" t="s">
        <v>462</v>
      </c>
      <c r="C99" s="66" t="s">
        <v>476</v>
      </c>
      <c r="D99" s="66"/>
      <c r="E99" s="65"/>
      <c r="F99" s="66"/>
      <c r="G99" s="72"/>
      <c r="H99" s="66"/>
      <c r="I99" s="65" t="s">
        <v>307</v>
      </c>
      <c r="J99" s="66" t="s">
        <v>314</v>
      </c>
      <c r="K99" s="68" t="s">
        <v>463</v>
      </c>
      <c r="L99" s="69" t="s">
        <v>464</v>
      </c>
      <c r="M99" s="70" t="s">
        <v>701</v>
      </c>
      <c r="N99" s="77" t="s">
        <v>45</v>
      </c>
    </row>
    <row r="100" spans="1:14" x14ac:dyDescent="0.3">
      <c r="A100" s="63" t="str">
        <f>IF(MID($L$1,3,1)="0",CONCATENATE("0",DEC2HEX(HEX2DEC(MID($L$1,3,3))+85)),DEC2HEX(HEX2DEC(MID($L$1,3,3))+85))</f>
        <v>4E5</v>
      </c>
      <c r="B100" s="68" t="s">
        <v>462</v>
      </c>
      <c r="C100" s="66" t="s">
        <v>476</v>
      </c>
      <c r="D100" s="66" t="s">
        <v>548</v>
      </c>
      <c r="E100" s="65" t="s">
        <v>663</v>
      </c>
      <c r="F100" s="66" t="s">
        <v>476</v>
      </c>
      <c r="G100" s="72"/>
      <c r="H100" s="66" t="s">
        <v>476</v>
      </c>
      <c r="I100" s="65" t="s">
        <v>306</v>
      </c>
      <c r="J100" s="66" t="s">
        <v>476</v>
      </c>
      <c r="K100" s="72" t="s">
        <v>463</v>
      </c>
      <c r="L100" s="73" t="s">
        <v>464</v>
      </c>
      <c r="M100" s="70" t="s">
        <v>665</v>
      </c>
      <c r="N100" s="77" t="s">
        <v>664</v>
      </c>
    </row>
    <row r="101" spans="1:14" x14ac:dyDescent="0.3">
      <c r="A101" s="63" t="str">
        <f>IF(MID($L$1,3,1)="0",CONCATENATE("0",DEC2HEX(HEX2DEC(MID($L$1,3,3))+86)),DEC2HEX(HEX2DEC(MID($L$1,3,3))+86))</f>
        <v>4E6</v>
      </c>
      <c r="B101" s="68" t="s">
        <v>462</v>
      </c>
      <c r="C101" s="66" t="s">
        <v>476</v>
      </c>
      <c r="D101" s="66" t="s">
        <v>476</v>
      </c>
      <c r="E101" s="65" t="s">
        <v>476</v>
      </c>
      <c r="F101" s="66" t="s">
        <v>476</v>
      </c>
      <c r="G101" s="72"/>
      <c r="H101" s="66"/>
      <c r="I101" s="65"/>
      <c r="J101" s="66"/>
      <c r="K101" s="72" t="s">
        <v>463</v>
      </c>
      <c r="L101" s="73" t="s">
        <v>464</v>
      </c>
      <c r="M101" s="70" t="s">
        <v>7</v>
      </c>
      <c r="N101" s="77" t="s">
        <v>36</v>
      </c>
    </row>
    <row r="102" spans="1:14" ht="15" thickBot="1" x14ac:dyDescent="0.35">
      <c r="A102" s="63" t="str">
        <f>IF(MID($L$1,3,1)="0",CONCATENATE("0",DEC2HEX(HEX2DEC(MID($L$1,3,3))+87)),DEC2HEX(HEX2DEC(MID($L$1,3,3))+87))</f>
        <v>4E7</v>
      </c>
      <c r="B102" s="68" t="s">
        <v>462</v>
      </c>
      <c r="C102" s="66" t="s">
        <v>476</v>
      </c>
      <c r="D102" s="66" t="s">
        <v>476</v>
      </c>
      <c r="E102" s="65" t="s">
        <v>476</v>
      </c>
      <c r="F102" s="66" t="s">
        <v>476</v>
      </c>
      <c r="G102" s="72"/>
      <c r="H102" s="66" t="s">
        <v>476</v>
      </c>
      <c r="I102" s="65" t="s">
        <v>476</v>
      </c>
      <c r="J102" s="66" t="s">
        <v>476</v>
      </c>
      <c r="K102" s="72" t="s">
        <v>463</v>
      </c>
      <c r="L102" s="73" t="s">
        <v>464</v>
      </c>
      <c r="M102" s="70" t="s">
        <v>7</v>
      </c>
      <c r="N102" s="75" t="s">
        <v>36</v>
      </c>
    </row>
    <row r="103" spans="1:14" ht="15" thickBot="1" x14ac:dyDescent="0.35">
      <c r="A103" s="82" t="s">
        <v>687</v>
      </c>
      <c r="B103" s="83"/>
      <c r="C103" s="84" t="s">
        <v>476</v>
      </c>
      <c r="D103" s="84"/>
      <c r="E103" s="84" t="s">
        <v>476</v>
      </c>
      <c r="F103" s="84" t="s">
        <v>476</v>
      </c>
      <c r="G103" s="83"/>
      <c r="H103" s="84" t="s">
        <v>476</v>
      </c>
      <c r="I103" s="84" t="s">
        <v>476</v>
      </c>
      <c r="J103" s="84" t="s">
        <v>476</v>
      </c>
      <c r="K103" s="83"/>
      <c r="L103" s="83"/>
      <c r="M103" s="85"/>
      <c r="N103" s="86" t="s">
        <v>728</v>
      </c>
    </row>
    <row r="104" spans="1:14" x14ac:dyDescent="0.3">
      <c r="A104" s="63" t="str">
        <f>IF(MID($L$1,3,1)="0",CONCATENATE("0",DEC2HEX(HEX2DEC(MID($L$1,3,3))+88)),DEC2HEX(HEX2DEC(MID($L$1,3,3))+88))</f>
        <v>4E8</v>
      </c>
      <c r="B104" s="68" t="s">
        <v>462</v>
      </c>
      <c r="C104" s="65" t="s">
        <v>476</v>
      </c>
      <c r="D104" s="66"/>
      <c r="E104" s="65"/>
      <c r="F104" s="65" t="s">
        <v>476</v>
      </c>
      <c r="G104" s="68"/>
      <c r="H104" s="66" t="s">
        <v>476</v>
      </c>
      <c r="I104" s="65" t="s">
        <v>312</v>
      </c>
      <c r="J104" s="65" t="s">
        <v>311</v>
      </c>
      <c r="K104" s="68" t="s">
        <v>463</v>
      </c>
      <c r="L104" s="69" t="s">
        <v>464</v>
      </c>
      <c r="M104" s="70" t="s">
        <v>504</v>
      </c>
      <c r="N104" s="71" t="s">
        <v>729</v>
      </c>
    </row>
    <row r="105" spans="1:14" x14ac:dyDescent="0.3">
      <c r="A105" s="63" t="str">
        <f>IF(MID($L$1,3,1)="0",CONCATENATE("0",DEC2HEX(HEX2DEC(MID($L$1,3,3))+89)),DEC2HEX(HEX2DEC(MID($L$1,3,3))+89))</f>
        <v>4E9</v>
      </c>
      <c r="B105" s="68" t="s">
        <v>462</v>
      </c>
      <c r="C105" s="66" t="s">
        <v>476</v>
      </c>
      <c r="D105" s="66" t="s">
        <v>476</v>
      </c>
      <c r="E105" s="65" t="s">
        <v>476</v>
      </c>
      <c r="F105" s="66" t="s">
        <v>476</v>
      </c>
      <c r="G105" s="72"/>
      <c r="H105" s="66"/>
      <c r="I105" s="65" t="s">
        <v>313</v>
      </c>
      <c r="J105" s="65" t="s">
        <v>308</v>
      </c>
      <c r="K105" s="72" t="s">
        <v>478</v>
      </c>
      <c r="L105" s="73" t="s">
        <v>464</v>
      </c>
      <c r="M105" s="70" t="s">
        <v>508</v>
      </c>
      <c r="N105" s="74" t="s">
        <v>714</v>
      </c>
    </row>
    <row r="106" spans="1:14" x14ac:dyDescent="0.3">
      <c r="A106" s="63" t="str">
        <f>IF(MID($L$1,3,1)="0",CONCATENATE("0",DEC2HEX(HEX2DEC(MID($L$1,3,3))+90)),DEC2HEX(HEX2DEC(MID($L$1,3,3))+90))</f>
        <v>4EA</v>
      </c>
      <c r="B106" s="68" t="s">
        <v>462</v>
      </c>
      <c r="C106" s="66" t="s">
        <v>476</v>
      </c>
      <c r="D106" s="66" t="s">
        <v>476</v>
      </c>
      <c r="E106" s="65" t="s">
        <v>476</v>
      </c>
      <c r="F106" s="66" t="s">
        <v>476</v>
      </c>
      <c r="G106" s="72"/>
      <c r="H106" s="66" t="s">
        <v>476</v>
      </c>
      <c r="I106" s="65"/>
      <c r="J106" s="66"/>
      <c r="K106" s="72" t="s">
        <v>478</v>
      </c>
      <c r="L106" s="73" t="s">
        <v>464</v>
      </c>
      <c r="M106" s="70" t="s">
        <v>7</v>
      </c>
      <c r="N106" s="77" t="s">
        <v>36</v>
      </c>
    </row>
    <row r="107" spans="1:14" x14ac:dyDescent="0.3">
      <c r="A107" s="63" t="str">
        <f>IF(MID($L$1,3,1)="0",CONCATENATE("0",DEC2HEX(HEX2DEC(MID($L$1,3,3))+91)),DEC2HEX(HEX2DEC(MID($L$1,3,3))+91))</f>
        <v>4EB</v>
      </c>
      <c r="B107" s="68" t="s">
        <v>462</v>
      </c>
      <c r="C107" s="66" t="s">
        <v>476</v>
      </c>
      <c r="D107" s="66" t="s">
        <v>476</v>
      </c>
      <c r="E107" s="65" t="s">
        <v>476</v>
      </c>
      <c r="F107" s="66" t="s">
        <v>476</v>
      </c>
      <c r="G107" s="72"/>
      <c r="H107" s="66" t="s">
        <v>476</v>
      </c>
      <c r="I107" s="65"/>
      <c r="J107" s="66"/>
      <c r="K107" s="72" t="s">
        <v>478</v>
      </c>
      <c r="L107" s="73" t="s">
        <v>464</v>
      </c>
      <c r="M107" s="70" t="s">
        <v>7</v>
      </c>
      <c r="N107" s="77" t="s">
        <v>36</v>
      </c>
    </row>
    <row r="108" spans="1:14" x14ac:dyDescent="0.3">
      <c r="A108" s="63" t="str">
        <f>IF(MID($L$1,3,1)="0",CONCATENATE("0",DEC2HEX(HEX2DEC(MID($L$1,3,3))+92)),DEC2HEX(HEX2DEC(MID($L$1,3,3))+92))</f>
        <v>4EC</v>
      </c>
      <c r="B108" s="68" t="s">
        <v>462</v>
      </c>
      <c r="C108" s="66" t="s">
        <v>476</v>
      </c>
      <c r="D108" s="66" t="s">
        <v>476</v>
      </c>
      <c r="E108" s="65" t="s">
        <v>476</v>
      </c>
      <c r="F108" s="66" t="s">
        <v>476</v>
      </c>
      <c r="G108" s="72"/>
      <c r="H108" s="66" t="s">
        <v>476</v>
      </c>
      <c r="I108" s="65"/>
      <c r="J108" s="66"/>
      <c r="K108" s="72" t="s">
        <v>478</v>
      </c>
      <c r="L108" s="73" t="s">
        <v>464</v>
      </c>
      <c r="M108" s="70" t="s">
        <v>7</v>
      </c>
      <c r="N108" s="77" t="s">
        <v>36</v>
      </c>
    </row>
    <row r="109" spans="1:14" x14ac:dyDescent="0.3">
      <c r="A109" s="63" t="str">
        <f>IF(MID($L$1,3,1)="0",CONCATENATE("0",DEC2HEX(HEX2DEC(MID($L$1,3,3))+93)),DEC2HEX(HEX2DEC(MID($L$1,3,3))+93))</f>
        <v>4ED</v>
      </c>
      <c r="B109" s="68" t="s">
        <v>462</v>
      </c>
      <c r="C109" s="66" t="s">
        <v>476</v>
      </c>
      <c r="D109" s="66" t="s">
        <v>548</v>
      </c>
      <c r="E109" s="65" t="s">
        <v>5</v>
      </c>
      <c r="F109" s="66" t="s">
        <v>476</v>
      </c>
      <c r="G109" s="72"/>
      <c r="H109" s="66" t="s">
        <v>476</v>
      </c>
      <c r="I109" s="65" t="s">
        <v>306</v>
      </c>
      <c r="J109" s="66"/>
      <c r="K109" s="72" t="s">
        <v>478</v>
      </c>
      <c r="L109" s="73" t="s">
        <v>464</v>
      </c>
      <c r="M109" s="70" t="s">
        <v>498</v>
      </c>
      <c r="N109" s="77" t="s">
        <v>43</v>
      </c>
    </row>
    <row r="110" spans="1:14" x14ac:dyDescent="0.3">
      <c r="A110" s="63" t="str">
        <f>IF(MID($L$1,3,1)="0",CONCATENATE("0",DEC2HEX(HEX2DEC(MID($L$1,3,3))+94)),DEC2HEX(HEX2DEC(MID($L$1,3,3))+94))</f>
        <v>4EE</v>
      </c>
      <c r="B110" s="68" t="s">
        <v>462</v>
      </c>
      <c r="C110" s="66" t="s">
        <v>476</v>
      </c>
      <c r="D110" s="66" t="s">
        <v>476</v>
      </c>
      <c r="E110" s="65" t="s">
        <v>476</v>
      </c>
      <c r="F110" s="66" t="s">
        <v>476</v>
      </c>
      <c r="G110" s="72"/>
      <c r="H110" s="66" t="s">
        <v>476</v>
      </c>
      <c r="I110" s="65" t="s">
        <v>488</v>
      </c>
      <c r="J110" s="66" t="s">
        <v>308</v>
      </c>
      <c r="K110" s="72" t="s">
        <v>463</v>
      </c>
      <c r="L110" s="73" t="s">
        <v>464</v>
      </c>
      <c r="M110" s="70" t="s">
        <v>519</v>
      </c>
      <c r="N110" s="77" t="s">
        <v>540</v>
      </c>
    </row>
    <row r="111" spans="1:14" ht="15" thickBot="1" x14ac:dyDescent="0.35">
      <c r="A111" s="63" t="str">
        <f>IF(MID($L$1,3,1)="0",CONCATENATE("0",DEC2HEX(HEX2DEC(MID($L$1,3,3))+95)),DEC2HEX(HEX2DEC(MID($L$1,3,3))+95))</f>
        <v>4EF</v>
      </c>
      <c r="B111" s="68" t="s">
        <v>462</v>
      </c>
      <c r="C111" s="66" t="s">
        <v>476</v>
      </c>
      <c r="D111" s="66" t="s">
        <v>476</v>
      </c>
      <c r="E111" s="65" t="s">
        <v>476</v>
      </c>
      <c r="F111" s="66" t="s">
        <v>476</v>
      </c>
      <c r="G111" s="72"/>
      <c r="H111" s="66" t="s">
        <v>297</v>
      </c>
      <c r="I111" s="65" t="s">
        <v>315</v>
      </c>
      <c r="J111" s="65" t="s">
        <v>476</v>
      </c>
      <c r="K111" s="68" t="s">
        <v>463</v>
      </c>
      <c r="L111" s="69" t="s">
        <v>464</v>
      </c>
      <c r="M111" s="70" t="s">
        <v>6</v>
      </c>
      <c r="N111" s="75" t="s">
        <v>62</v>
      </c>
    </row>
    <row r="112" spans="1:14" ht="15" thickBot="1" x14ac:dyDescent="0.35">
      <c r="A112" s="82" t="s">
        <v>688</v>
      </c>
      <c r="B112" s="83"/>
      <c r="C112" s="84" t="s">
        <v>476</v>
      </c>
      <c r="D112" s="84"/>
      <c r="E112" s="84" t="s">
        <v>476</v>
      </c>
      <c r="F112" s="84" t="s">
        <v>476</v>
      </c>
      <c r="G112" s="83"/>
      <c r="H112" s="84" t="s">
        <v>476</v>
      </c>
      <c r="I112" s="84" t="s">
        <v>476</v>
      </c>
      <c r="J112" s="84" t="s">
        <v>476</v>
      </c>
      <c r="K112" s="83"/>
      <c r="L112" s="83"/>
      <c r="M112" s="85"/>
      <c r="N112" s="86" t="s">
        <v>734</v>
      </c>
    </row>
    <row r="113" spans="1:14" x14ac:dyDescent="0.3">
      <c r="A113" s="63" t="str">
        <f>IF(MID($L$1,3,1)="0",CONCATENATE("0",DEC2HEX(HEX2DEC(MID($L$1,3,3))+96)),DEC2HEX(HEX2DEC(MID($L$1,3,3))+96))</f>
        <v>4F0</v>
      </c>
      <c r="B113" s="68" t="s">
        <v>462</v>
      </c>
      <c r="C113" s="65" t="s">
        <v>476</v>
      </c>
      <c r="D113" s="65" t="s">
        <v>476</v>
      </c>
      <c r="E113" s="65" t="s">
        <v>476</v>
      </c>
      <c r="F113" s="65" t="s">
        <v>476</v>
      </c>
      <c r="G113" s="68"/>
      <c r="H113" s="66"/>
      <c r="I113" s="65" t="s">
        <v>312</v>
      </c>
      <c r="J113" s="65" t="s">
        <v>316</v>
      </c>
      <c r="K113" s="72" t="s">
        <v>463</v>
      </c>
      <c r="L113" s="73" t="s">
        <v>464</v>
      </c>
      <c r="M113" s="70" t="s">
        <v>705</v>
      </c>
      <c r="N113" s="77" t="s">
        <v>50</v>
      </c>
    </row>
    <row r="114" spans="1:14" x14ac:dyDescent="0.3">
      <c r="A114" s="63" t="str">
        <f>IF(MID($L$1,3,1)="0",CONCATENATE("0",DEC2HEX(HEX2DEC(MID($L$1,3,3))+97)),DEC2HEX(HEX2DEC(MID($L$1,3,3))+97))</f>
        <v>4F1</v>
      </c>
      <c r="B114" s="68" t="s">
        <v>462</v>
      </c>
      <c r="C114" s="66" t="s">
        <v>476</v>
      </c>
      <c r="D114" s="66" t="s">
        <v>476</v>
      </c>
      <c r="E114" s="65" t="s">
        <v>476</v>
      </c>
      <c r="F114" s="66" t="s">
        <v>476</v>
      </c>
      <c r="G114" s="72"/>
      <c r="H114" s="66"/>
      <c r="I114" s="65" t="s">
        <v>313</v>
      </c>
      <c r="J114" s="66" t="s">
        <v>487</v>
      </c>
      <c r="K114" s="72" t="s">
        <v>463</v>
      </c>
      <c r="L114" s="73" t="s">
        <v>464</v>
      </c>
      <c r="M114" s="70" t="s">
        <v>14</v>
      </c>
      <c r="N114" s="77" t="s">
        <v>58</v>
      </c>
    </row>
    <row r="115" spans="1:14" x14ac:dyDescent="0.3">
      <c r="A115" s="63" t="str">
        <f>IF(MID($L$1,3,1)="0",CONCATENATE("0",DEC2HEX(HEX2DEC(MID($L$1,3,3))+98)),DEC2HEX(HEX2DEC(MID($L$1,3,3))+98))</f>
        <v>4F2</v>
      </c>
      <c r="B115" s="68" t="s">
        <v>462</v>
      </c>
      <c r="C115" s="66" t="s">
        <v>476</v>
      </c>
      <c r="D115" s="66" t="s">
        <v>548</v>
      </c>
      <c r="E115" s="65" t="s">
        <v>3</v>
      </c>
      <c r="F115" s="66" t="s">
        <v>476</v>
      </c>
      <c r="G115" s="72"/>
      <c r="H115" s="66" t="s">
        <v>476</v>
      </c>
      <c r="I115" s="65" t="s">
        <v>306</v>
      </c>
      <c r="J115" s="66" t="s">
        <v>476</v>
      </c>
      <c r="K115" s="72" t="s">
        <v>463</v>
      </c>
      <c r="L115" s="73" t="s">
        <v>464</v>
      </c>
      <c r="M115" s="70" t="s">
        <v>514</v>
      </c>
      <c r="N115" s="77" t="s">
        <v>82</v>
      </c>
    </row>
    <row r="116" spans="1:14" x14ac:dyDescent="0.3">
      <c r="A116" s="63" t="str">
        <f>IF(MID($L$1,3,1)="0",CONCATENATE("0",DEC2HEX(HEX2DEC(MID($L$1,3,3))+99)),DEC2HEX(HEX2DEC(MID($L$1,3,3))+99))</f>
        <v>4F3</v>
      </c>
      <c r="B116" s="68" t="s">
        <v>462</v>
      </c>
      <c r="C116" s="66" t="s">
        <v>476</v>
      </c>
      <c r="D116" s="66" t="s">
        <v>476</v>
      </c>
      <c r="E116" s="65" t="s">
        <v>476</v>
      </c>
      <c r="F116" s="66" t="s">
        <v>476</v>
      </c>
      <c r="G116" s="72"/>
      <c r="H116" s="66" t="s">
        <v>476</v>
      </c>
      <c r="I116" s="65" t="s">
        <v>307</v>
      </c>
      <c r="J116" s="66" t="s">
        <v>314</v>
      </c>
      <c r="K116" s="72" t="s">
        <v>463</v>
      </c>
      <c r="L116" s="73" t="s">
        <v>464</v>
      </c>
      <c r="M116" s="70" t="s">
        <v>511</v>
      </c>
      <c r="N116" s="77" t="s">
        <v>57</v>
      </c>
    </row>
    <row r="117" spans="1:14" x14ac:dyDescent="0.3">
      <c r="A117" s="63" t="str">
        <f>IF(MID($L$1,3,1)="0",CONCATENATE("0",DEC2HEX(HEX2DEC(MID($L$1,3,3))+100)),DEC2HEX(HEX2DEC(MID($L$1,3,3))+100))</f>
        <v>4F4</v>
      </c>
      <c r="B117" s="68" t="s">
        <v>462</v>
      </c>
      <c r="C117" s="66" t="s">
        <v>476</v>
      </c>
      <c r="D117" s="66" t="s">
        <v>476</v>
      </c>
      <c r="E117" s="65" t="s">
        <v>476</v>
      </c>
      <c r="F117" s="66" t="s">
        <v>476</v>
      </c>
      <c r="G117" s="72"/>
      <c r="H117" s="66" t="s">
        <v>476</v>
      </c>
      <c r="I117" s="65"/>
      <c r="J117" s="66"/>
      <c r="K117" s="72" t="s">
        <v>463</v>
      </c>
      <c r="L117" s="73" t="s">
        <v>464</v>
      </c>
      <c r="M117" s="70" t="s">
        <v>7</v>
      </c>
      <c r="N117" s="77" t="s">
        <v>36</v>
      </c>
    </row>
    <row r="118" spans="1:14" x14ac:dyDescent="0.3">
      <c r="A118" s="63" t="str">
        <f>IF(MID($L$1,3,1)="0",CONCATENATE("0",DEC2HEX(HEX2DEC(MID($L$1,3,3))+101)),DEC2HEX(HEX2DEC(MID($L$1,3,3))+101))</f>
        <v>4F5</v>
      </c>
      <c r="B118" s="68" t="s">
        <v>462</v>
      </c>
      <c r="C118" s="66" t="s">
        <v>476</v>
      </c>
      <c r="D118" s="66" t="s">
        <v>476</v>
      </c>
      <c r="E118" s="65" t="s">
        <v>476</v>
      </c>
      <c r="F118" s="66" t="s">
        <v>476</v>
      </c>
      <c r="G118" s="72"/>
      <c r="H118" s="66" t="s">
        <v>476</v>
      </c>
      <c r="I118" s="65"/>
      <c r="J118" s="66"/>
      <c r="K118" s="72" t="s">
        <v>463</v>
      </c>
      <c r="L118" s="73" t="s">
        <v>464</v>
      </c>
      <c r="M118" s="70" t="s">
        <v>7</v>
      </c>
      <c r="N118" s="77" t="s">
        <v>36</v>
      </c>
    </row>
    <row r="119" spans="1:14" x14ac:dyDescent="0.3">
      <c r="A119" s="63" t="str">
        <f>IF(MID($L$1,3,1)="0",CONCATENATE("0",DEC2HEX(HEX2DEC(MID($L$1,3,3))+102)),DEC2HEX(HEX2DEC(MID($L$1,3,3))+102))</f>
        <v>4F6</v>
      </c>
      <c r="B119" s="68" t="s">
        <v>462</v>
      </c>
      <c r="C119" s="66" t="s">
        <v>476</v>
      </c>
      <c r="D119" s="65"/>
      <c r="E119" s="65"/>
      <c r="F119" s="65" t="s">
        <v>476</v>
      </c>
      <c r="G119" s="68"/>
      <c r="H119" s="66" t="s">
        <v>476</v>
      </c>
      <c r="I119" s="65" t="s">
        <v>488</v>
      </c>
      <c r="J119" s="65" t="s">
        <v>316</v>
      </c>
      <c r="K119" s="72" t="s">
        <v>463</v>
      </c>
      <c r="L119" s="73" t="s">
        <v>464</v>
      </c>
      <c r="M119" s="70" t="s">
        <v>527</v>
      </c>
      <c r="N119" s="77" t="s">
        <v>716</v>
      </c>
    </row>
    <row r="120" spans="1:14" ht="15" thickBot="1" x14ac:dyDescent="0.35">
      <c r="A120" s="63" t="str">
        <f>IF(MID($L$1,3,1)="0",CONCATENATE("0",DEC2HEX(HEX2DEC(MID($L$1,3,3))+103)),DEC2HEX(HEX2DEC(MID($L$1,3,3))+103))</f>
        <v>4F7</v>
      </c>
      <c r="B120" s="68" t="s">
        <v>462</v>
      </c>
      <c r="C120" s="66" t="s">
        <v>476</v>
      </c>
      <c r="D120" s="66" t="s">
        <v>476</v>
      </c>
      <c r="E120" s="65" t="s">
        <v>476</v>
      </c>
      <c r="F120" s="66" t="s">
        <v>476</v>
      </c>
      <c r="G120" s="72"/>
      <c r="H120" s="66" t="s">
        <v>297</v>
      </c>
      <c r="I120" s="65" t="s">
        <v>315</v>
      </c>
      <c r="J120" s="65" t="s">
        <v>476</v>
      </c>
      <c r="K120" s="68" t="s">
        <v>463</v>
      </c>
      <c r="L120" s="69" t="s">
        <v>464</v>
      </c>
      <c r="M120" s="70" t="s">
        <v>6</v>
      </c>
      <c r="N120" s="75" t="s">
        <v>62</v>
      </c>
    </row>
    <row r="121" spans="1:14" ht="15" thickBot="1" x14ac:dyDescent="0.35">
      <c r="A121" s="82" t="s">
        <v>689</v>
      </c>
      <c r="B121" s="83"/>
      <c r="C121" s="84" t="s">
        <v>476</v>
      </c>
      <c r="D121" s="84"/>
      <c r="E121" s="84" t="s">
        <v>476</v>
      </c>
      <c r="F121" s="84" t="s">
        <v>476</v>
      </c>
      <c r="G121" s="83"/>
      <c r="H121" s="84" t="s">
        <v>476</v>
      </c>
      <c r="I121" s="84" t="s">
        <v>476</v>
      </c>
      <c r="J121" s="84" t="s">
        <v>476</v>
      </c>
      <c r="K121" s="83"/>
      <c r="L121" s="83"/>
      <c r="M121" s="85"/>
      <c r="N121" s="86" t="s">
        <v>735</v>
      </c>
    </row>
    <row r="122" spans="1:14" x14ac:dyDescent="0.3">
      <c r="A122" s="63" t="str">
        <f>IF(MID($L$1,3,1)="0",CONCATENATE("0",DEC2HEX(HEX2DEC(MID($L$1,3,3))+104)),DEC2HEX(HEX2DEC(MID($L$1,3,3))+104))</f>
        <v>4F8</v>
      </c>
      <c r="B122" s="68" t="s">
        <v>462</v>
      </c>
      <c r="C122" s="65" t="s">
        <v>476</v>
      </c>
      <c r="D122" s="65" t="s">
        <v>476</v>
      </c>
      <c r="E122" s="65" t="s">
        <v>476</v>
      </c>
      <c r="F122" s="65" t="s">
        <v>476</v>
      </c>
      <c r="G122" s="68"/>
      <c r="H122" s="66"/>
      <c r="I122" s="65" t="s">
        <v>312</v>
      </c>
      <c r="J122" s="65" t="s">
        <v>316</v>
      </c>
      <c r="K122" s="72" t="s">
        <v>463</v>
      </c>
      <c r="L122" s="73" t="s">
        <v>464</v>
      </c>
      <c r="M122" s="70" t="s">
        <v>705</v>
      </c>
      <c r="N122" s="77" t="s">
        <v>50</v>
      </c>
    </row>
    <row r="123" spans="1:14" x14ac:dyDescent="0.3">
      <c r="A123" s="63" t="str">
        <f>IF(MID($L$1,3,1)="0",CONCATENATE("0",DEC2HEX(HEX2DEC(MID($L$1,3,3))+105)),DEC2HEX(HEX2DEC(MID($L$1,3,3))+105))</f>
        <v>4F9</v>
      </c>
      <c r="B123" s="68" t="s">
        <v>462</v>
      </c>
      <c r="C123" s="66" t="s">
        <v>476</v>
      </c>
      <c r="D123" s="66" t="s">
        <v>476</v>
      </c>
      <c r="E123" s="65" t="s">
        <v>476</v>
      </c>
      <c r="F123" s="66" t="s">
        <v>476</v>
      </c>
      <c r="G123" s="72"/>
      <c r="H123" s="66"/>
      <c r="I123" s="65" t="s">
        <v>313</v>
      </c>
      <c r="J123" s="66" t="s">
        <v>487</v>
      </c>
      <c r="K123" s="72" t="s">
        <v>463</v>
      </c>
      <c r="L123" s="73" t="s">
        <v>464</v>
      </c>
      <c r="M123" s="70" t="s">
        <v>14</v>
      </c>
      <c r="N123" s="77" t="s">
        <v>58</v>
      </c>
    </row>
    <row r="124" spans="1:14" x14ac:dyDescent="0.3">
      <c r="A124" s="63" t="str">
        <f>IF(MID($L$1,3,1)="0",CONCATENATE("0",DEC2HEX(HEX2DEC(MID($L$1,3,3))+106)),DEC2HEX(HEX2DEC(MID($L$1,3,3))+106))</f>
        <v>4FA</v>
      </c>
      <c r="B124" s="68" t="s">
        <v>462</v>
      </c>
      <c r="C124" s="66" t="s">
        <v>476</v>
      </c>
      <c r="D124" s="66" t="s">
        <v>548</v>
      </c>
      <c r="E124" s="65" t="s">
        <v>672</v>
      </c>
      <c r="F124" s="66" t="s">
        <v>476</v>
      </c>
      <c r="G124" s="72"/>
      <c r="H124" s="66" t="s">
        <v>476</v>
      </c>
      <c r="I124" s="65" t="s">
        <v>306</v>
      </c>
      <c r="J124" s="66" t="s">
        <v>476</v>
      </c>
      <c r="K124" s="72" t="s">
        <v>463</v>
      </c>
      <c r="L124" s="73" t="s">
        <v>464</v>
      </c>
      <c r="M124" s="70" t="s">
        <v>681</v>
      </c>
      <c r="N124" s="77" t="s">
        <v>675</v>
      </c>
    </row>
    <row r="125" spans="1:14" x14ac:dyDescent="0.3">
      <c r="A125" s="63" t="str">
        <f>IF(MID($L$1,3,1)="0",CONCATENATE("0",DEC2HEX(HEX2DEC(MID($L$1,3,3))+107)),DEC2HEX(HEX2DEC(MID($L$1,3,3))+107))</f>
        <v>4FB</v>
      </c>
      <c r="B125" s="68" t="s">
        <v>462</v>
      </c>
      <c r="C125" s="66" t="s">
        <v>476</v>
      </c>
      <c r="D125" s="66" t="s">
        <v>476</v>
      </c>
      <c r="E125" s="65" t="s">
        <v>476</v>
      </c>
      <c r="F125" s="66" t="s">
        <v>476</v>
      </c>
      <c r="G125" s="72"/>
      <c r="H125" s="66" t="s">
        <v>476</v>
      </c>
      <c r="I125" s="65" t="s">
        <v>307</v>
      </c>
      <c r="J125" s="66" t="s">
        <v>314</v>
      </c>
      <c r="K125" s="72" t="s">
        <v>463</v>
      </c>
      <c r="L125" s="73" t="s">
        <v>464</v>
      </c>
      <c r="M125" s="70" t="s">
        <v>511</v>
      </c>
      <c r="N125" s="77" t="s">
        <v>57</v>
      </c>
    </row>
    <row r="126" spans="1:14" x14ac:dyDescent="0.3">
      <c r="A126" s="63" t="str">
        <f>IF(MID($L$1,3,1)="0",CONCATENATE("0",DEC2HEX(HEX2DEC(MID($L$1,3,3))+108)),DEC2HEX(HEX2DEC(MID($L$1,3,3))+108))</f>
        <v>4FC</v>
      </c>
      <c r="B126" s="68" t="s">
        <v>462</v>
      </c>
      <c r="C126" s="66" t="s">
        <v>476</v>
      </c>
      <c r="D126" s="66" t="s">
        <v>476</v>
      </c>
      <c r="E126" s="65" t="s">
        <v>476</v>
      </c>
      <c r="F126" s="66" t="s">
        <v>476</v>
      </c>
      <c r="G126" s="72"/>
      <c r="H126" s="66" t="s">
        <v>476</v>
      </c>
      <c r="I126" s="65"/>
      <c r="J126" s="66"/>
      <c r="K126" s="72" t="s">
        <v>463</v>
      </c>
      <c r="L126" s="73" t="s">
        <v>464</v>
      </c>
      <c r="M126" s="70" t="s">
        <v>7</v>
      </c>
      <c r="N126" s="77" t="s">
        <v>36</v>
      </c>
    </row>
    <row r="127" spans="1:14" x14ac:dyDescent="0.3">
      <c r="A127" s="63" t="str">
        <f>IF(MID($L$1,3,1)="0",CONCATENATE("0",DEC2HEX(HEX2DEC(MID($L$1,3,3))+109)),DEC2HEX(HEX2DEC(MID($L$1,3,3))+109))</f>
        <v>4FD</v>
      </c>
      <c r="B127" s="68" t="s">
        <v>462</v>
      </c>
      <c r="C127" s="66" t="s">
        <v>476</v>
      </c>
      <c r="D127" s="66" t="s">
        <v>476</v>
      </c>
      <c r="E127" s="65" t="s">
        <v>476</v>
      </c>
      <c r="F127" s="66" t="s">
        <v>476</v>
      </c>
      <c r="G127" s="72"/>
      <c r="H127" s="66" t="s">
        <v>476</v>
      </c>
      <c r="I127" s="65"/>
      <c r="J127" s="66"/>
      <c r="K127" s="72" t="s">
        <v>463</v>
      </c>
      <c r="L127" s="73" t="s">
        <v>464</v>
      </c>
      <c r="M127" s="70" t="s">
        <v>7</v>
      </c>
      <c r="N127" s="77" t="s">
        <v>36</v>
      </c>
    </row>
    <row r="128" spans="1:14" x14ac:dyDescent="0.3">
      <c r="A128" s="63" t="str">
        <f>IF(MID($L$1,3,1)="0",CONCATENATE("0",DEC2HEX(HEX2DEC(MID($L$1,3,3))+110)),DEC2HEX(HEX2DEC(MID($L$1,3,3))+110))</f>
        <v>4FE</v>
      </c>
      <c r="B128" s="68" t="s">
        <v>462</v>
      </c>
      <c r="C128" s="66" t="s">
        <v>476</v>
      </c>
      <c r="D128" s="65"/>
      <c r="E128" s="65"/>
      <c r="F128" s="65" t="s">
        <v>476</v>
      </c>
      <c r="G128" s="68"/>
      <c r="H128" s="66" t="s">
        <v>476</v>
      </c>
      <c r="I128" s="65" t="s">
        <v>488</v>
      </c>
      <c r="J128" s="65" t="s">
        <v>316</v>
      </c>
      <c r="K128" s="72" t="s">
        <v>463</v>
      </c>
      <c r="L128" s="73" t="s">
        <v>464</v>
      </c>
      <c r="M128" s="70" t="s">
        <v>527</v>
      </c>
      <c r="N128" s="77" t="s">
        <v>716</v>
      </c>
    </row>
    <row r="129" spans="1:14" ht="15" thickBot="1" x14ac:dyDescent="0.35">
      <c r="A129" s="63" t="str">
        <f>IF(MID($L$1,3,1)="0",CONCATENATE("0",DEC2HEX(HEX2DEC(MID($L$1,3,3))+111)),DEC2HEX(HEX2DEC(MID($L$1,3,3))+111))</f>
        <v>4FF</v>
      </c>
      <c r="B129" s="68" t="s">
        <v>462</v>
      </c>
      <c r="C129" s="66" t="s">
        <v>476</v>
      </c>
      <c r="D129" s="66" t="s">
        <v>476</v>
      </c>
      <c r="E129" s="65" t="s">
        <v>476</v>
      </c>
      <c r="F129" s="66" t="s">
        <v>476</v>
      </c>
      <c r="G129" s="72"/>
      <c r="H129" s="66" t="s">
        <v>297</v>
      </c>
      <c r="I129" s="65" t="s">
        <v>315</v>
      </c>
      <c r="J129" s="65" t="s">
        <v>476</v>
      </c>
      <c r="K129" s="68" t="s">
        <v>463</v>
      </c>
      <c r="L129" s="69" t="s">
        <v>464</v>
      </c>
      <c r="M129" s="70" t="s">
        <v>6</v>
      </c>
      <c r="N129" s="75" t="s">
        <v>62</v>
      </c>
    </row>
    <row r="130" spans="1:14" ht="15" thickBot="1" x14ac:dyDescent="0.35">
      <c r="A130" s="82" t="s">
        <v>690</v>
      </c>
      <c r="B130" s="83"/>
      <c r="C130" s="84" t="s">
        <v>476</v>
      </c>
      <c r="D130" s="84"/>
      <c r="E130" s="84" t="s">
        <v>476</v>
      </c>
      <c r="F130" s="84" t="s">
        <v>476</v>
      </c>
      <c r="G130" s="83"/>
      <c r="H130" s="84" t="s">
        <v>476</v>
      </c>
      <c r="I130" s="84" t="s">
        <v>476</v>
      </c>
      <c r="J130" s="84" t="s">
        <v>476</v>
      </c>
      <c r="K130" s="83"/>
      <c r="L130" s="83"/>
      <c r="M130" s="85"/>
      <c r="N130" s="86" t="s">
        <v>736</v>
      </c>
    </row>
    <row r="131" spans="1:14" x14ac:dyDescent="0.3">
      <c r="A131" s="63" t="str">
        <f>IF(MID($L$1,3,1)="0",CONCATENATE("0",DEC2HEX(HEX2DEC(MID($L$1,3,3))+112)),DEC2HEX(HEX2DEC(MID($L$1,3,3))+112))</f>
        <v>500</v>
      </c>
      <c r="B131" s="68" t="s">
        <v>462</v>
      </c>
      <c r="C131" s="65" t="s">
        <v>476</v>
      </c>
      <c r="D131" s="65" t="s">
        <v>476</v>
      </c>
      <c r="E131" s="65" t="s">
        <v>476</v>
      </c>
      <c r="F131" s="65" t="s">
        <v>476</v>
      </c>
      <c r="G131" s="68"/>
      <c r="H131" s="66"/>
      <c r="I131" s="65" t="s">
        <v>312</v>
      </c>
      <c r="J131" s="65" t="s">
        <v>316</v>
      </c>
      <c r="K131" s="72" t="s">
        <v>463</v>
      </c>
      <c r="L131" s="73" t="s">
        <v>464</v>
      </c>
      <c r="M131" s="70" t="s">
        <v>705</v>
      </c>
      <c r="N131" s="77" t="s">
        <v>50</v>
      </c>
    </row>
    <row r="132" spans="1:14" x14ac:dyDescent="0.3">
      <c r="A132" s="63" t="str">
        <f>IF(MID($L$1,3,1)="0",CONCATENATE("0",DEC2HEX(HEX2DEC(MID($L$1,3,3))+113)),DEC2HEX(HEX2DEC(MID($L$1,3,3))+113))</f>
        <v>501</v>
      </c>
      <c r="B132" s="68" t="s">
        <v>462</v>
      </c>
      <c r="C132" s="66" t="s">
        <v>476</v>
      </c>
      <c r="D132" s="66" t="s">
        <v>476</v>
      </c>
      <c r="E132" s="65" t="s">
        <v>476</v>
      </c>
      <c r="F132" s="66" t="s">
        <v>476</v>
      </c>
      <c r="G132" s="72"/>
      <c r="H132" s="66"/>
      <c r="I132" s="65" t="s">
        <v>313</v>
      </c>
      <c r="J132" s="66" t="s">
        <v>487</v>
      </c>
      <c r="K132" s="72" t="s">
        <v>463</v>
      </c>
      <c r="L132" s="73" t="s">
        <v>464</v>
      </c>
      <c r="M132" s="70" t="s">
        <v>14</v>
      </c>
      <c r="N132" s="77" t="s">
        <v>58</v>
      </c>
    </row>
    <row r="133" spans="1:14" x14ac:dyDescent="0.3">
      <c r="A133" s="63" t="str">
        <f>IF(MID($L$1,3,1)="0",CONCATENATE("0",DEC2HEX(HEX2DEC(MID($L$1,3,3))+114)),DEC2HEX(HEX2DEC(MID($L$1,3,3))+114))</f>
        <v>502</v>
      </c>
      <c r="B133" s="68" t="s">
        <v>462</v>
      </c>
      <c r="C133" s="66" t="s">
        <v>476</v>
      </c>
      <c r="D133" s="66" t="s">
        <v>548</v>
      </c>
      <c r="E133" s="65" t="s">
        <v>4</v>
      </c>
      <c r="F133" s="66" t="s">
        <v>476</v>
      </c>
      <c r="G133" s="72"/>
      <c r="H133" s="66" t="s">
        <v>476</v>
      </c>
      <c r="I133" s="65" t="s">
        <v>306</v>
      </c>
      <c r="J133" s="66" t="s">
        <v>476</v>
      </c>
      <c r="K133" s="72" t="s">
        <v>463</v>
      </c>
      <c r="L133" s="73" t="s">
        <v>464</v>
      </c>
      <c r="M133" s="70" t="s">
        <v>682</v>
      </c>
      <c r="N133" s="77" t="s">
        <v>673</v>
      </c>
    </row>
    <row r="134" spans="1:14" x14ac:dyDescent="0.3">
      <c r="A134" s="63" t="str">
        <f>IF(MID($L$1,3,1)="0",CONCATENATE("0",DEC2HEX(HEX2DEC(MID($L$1,3,3))+115)),DEC2HEX(HEX2DEC(MID($L$1,3,3))+115))</f>
        <v>503</v>
      </c>
      <c r="B134" s="68" t="s">
        <v>462</v>
      </c>
      <c r="C134" s="66" t="s">
        <v>476</v>
      </c>
      <c r="D134" s="66" t="s">
        <v>476</v>
      </c>
      <c r="E134" s="65" t="s">
        <v>476</v>
      </c>
      <c r="F134" s="66" t="s">
        <v>476</v>
      </c>
      <c r="G134" s="72"/>
      <c r="H134" s="66" t="s">
        <v>476</v>
      </c>
      <c r="I134" s="65" t="s">
        <v>307</v>
      </c>
      <c r="J134" s="66" t="s">
        <v>314</v>
      </c>
      <c r="K134" s="72" t="s">
        <v>463</v>
      </c>
      <c r="L134" s="73" t="s">
        <v>464</v>
      </c>
      <c r="M134" s="70" t="s">
        <v>511</v>
      </c>
      <c r="N134" s="77" t="s">
        <v>57</v>
      </c>
    </row>
    <row r="135" spans="1:14" x14ac:dyDescent="0.3">
      <c r="A135" s="63" t="str">
        <f>IF(MID($L$1,3,1)="0",CONCATENATE("0",DEC2HEX(HEX2DEC(MID($L$1,3,3))+116)),DEC2HEX(HEX2DEC(MID($L$1,3,3))+116))</f>
        <v>504</v>
      </c>
      <c r="B135" s="68" t="s">
        <v>462</v>
      </c>
      <c r="C135" s="66" t="s">
        <v>476</v>
      </c>
      <c r="D135" s="66" t="s">
        <v>476</v>
      </c>
      <c r="E135" s="65" t="s">
        <v>476</v>
      </c>
      <c r="F135" s="66" t="s">
        <v>476</v>
      </c>
      <c r="G135" s="72"/>
      <c r="H135" s="66" t="s">
        <v>476</v>
      </c>
      <c r="I135" s="65"/>
      <c r="J135" s="66"/>
      <c r="K135" s="72" t="s">
        <v>463</v>
      </c>
      <c r="L135" s="73" t="s">
        <v>464</v>
      </c>
      <c r="M135" s="70" t="s">
        <v>7</v>
      </c>
      <c r="N135" s="77" t="s">
        <v>36</v>
      </c>
    </row>
    <row r="136" spans="1:14" x14ac:dyDescent="0.3">
      <c r="A136" s="63" t="str">
        <f>IF(MID($L$1,3,1)="0",CONCATENATE("0",DEC2HEX(HEX2DEC(MID($L$1,3,3))+117)),DEC2HEX(HEX2DEC(MID($L$1,3,3))+117))</f>
        <v>505</v>
      </c>
      <c r="B136" s="68" t="s">
        <v>462</v>
      </c>
      <c r="C136" s="66" t="s">
        <v>476</v>
      </c>
      <c r="D136" s="66" t="s">
        <v>476</v>
      </c>
      <c r="E136" s="65" t="s">
        <v>476</v>
      </c>
      <c r="F136" s="66" t="s">
        <v>476</v>
      </c>
      <c r="G136" s="72"/>
      <c r="H136" s="66" t="s">
        <v>476</v>
      </c>
      <c r="I136" s="65"/>
      <c r="J136" s="66"/>
      <c r="K136" s="72" t="s">
        <v>463</v>
      </c>
      <c r="L136" s="73" t="s">
        <v>464</v>
      </c>
      <c r="M136" s="70" t="s">
        <v>7</v>
      </c>
      <c r="N136" s="77" t="s">
        <v>36</v>
      </c>
    </row>
    <row r="137" spans="1:14" x14ac:dyDescent="0.3">
      <c r="A137" s="63" t="str">
        <f>IF(MID($L$1,3,1)="0",CONCATENATE("0",DEC2HEX(HEX2DEC(MID($L$1,3,3))+118)),DEC2HEX(HEX2DEC(MID($L$1,3,3))+118))</f>
        <v>506</v>
      </c>
      <c r="B137" s="68" t="s">
        <v>462</v>
      </c>
      <c r="C137" s="66" t="s">
        <v>476</v>
      </c>
      <c r="D137" s="65"/>
      <c r="E137" s="65"/>
      <c r="F137" s="65" t="s">
        <v>476</v>
      </c>
      <c r="G137" s="68"/>
      <c r="H137" s="66" t="s">
        <v>476</v>
      </c>
      <c r="I137" s="65" t="s">
        <v>488</v>
      </c>
      <c r="J137" s="65" t="s">
        <v>316</v>
      </c>
      <c r="K137" s="72" t="s">
        <v>463</v>
      </c>
      <c r="L137" s="73" t="s">
        <v>464</v>
      </c>
      <c r="M137" s="70" t="s">
        <v>527</v>
      </c>
      <c r="N137" s="77" t="s">
        <v>716</v>
      </c>
    </row>
    <row r="138" spans="1:14" ht="15" thickBot="1" x14ac:dyDescent="0.35">
      <c r="A138" s="63" t="str">
        <f>IF(MID($L$1,3,1)="0",CONCATENATE("0",DEC2HEX(HEX2DEC(MID($L$1,3,3))+119)),DEC2HEX(HEX2DEC(MID($L$1,3,3))+119))</f>
        <v>507</v>
      </c>
      <c r="B138" s="68" t="s">
        <v>462</v>
      </c>
      <c r="C138" s="66" t="s">
        <v>476</v>
      </c>
      <c r="D138" s="66" t="s">
        <v>476</v>
      </c>
      <c r="E138" s="65" t="s">
        <v>476</v>
      </c>
      <c r="F138" s="66" t="s">
        <v>476</v>
      </c>
      <c r="G138" s="72"/>
      <c r="H138" s="66" t="s">
        <v>297</v>
      </c>
      <c r="I138" s="65" t="s">
        <v>315</v>
      </c>
      <c r="J138" s="65" t="s">
        <v>476</v>
      </c>
      <c r="K138" s="68" t="s">
        <v>463</v>
      </c>
      <c r="L138" s="69" t="s">
        <v>464</v>
      </c>
      <c r="M138" s="70" t="s">
        <v>6</v>
      </c>
      <c r="N138" s="75" t="s">
        <v>62</v>
      </c>
    </row>
    <row r="139" spans="1:14" ht="15" thickBot="1" x14ac:dyDescent="0.35">
      <c r="A139" s="82" t="s">
        <v>691</v>
      </c>
      <c r="B139" s="83"/>
      <c r="C139" s="84" t="s">
        <v>476</v>
      </c>
      <c r="D139" s="84"/>
      <c r="E139" s="84" t="s">
        <v>476</v>
      </c>
      <c r="F139" s="84" t="s">
        <v>476</v>
      </c>
      <c r="G139" s="83"/>
      <c r="H139" s="84" t="s">
        <v>476</v>
      </c>
      <c r="I139" s="84" t="s">
        <v>476</v>
      </c>
      <c r="J139" s="84" t="s">
        <v>476</v>
      </c>
      <c r="K139" s="83"/>
      <c r="L139" s="83"/>
      <c r="M139" s="85"/>
      <c r="N139" s="86" t="s">
        <v>737</v>
      </c>
    </row>
    <row r="140" spans="1:14" x14ac:dyDescent="0.3">
      <c r="A140" s="63" t="str">
        <f>IF(MID($L$1,3,1)="0",CONCATENATE("0",DEC2HEX(HEX2DEC(MID($L$1,3,3))+120)),DEC2HEX(HEX2DEC(MID($L$1,3,3))+120))</f>
        <v>508</v>
      </c>
      <c r="B140" s="68" t="s">
        <v>462</v>
      </c>
      <c r="C140" s="65" t="s">
        <v>476</v>
      </c>
      <c r="D140" s="65" t="s">
        <v>476</v>
      </c>
      <c r="E140" s="65" t="s">
        <v>476</v>
      </c>
      <c r="F140" s="65" t="s">
        <v>476</v>
      </c>
      <c r="G140" s="68"/>
      <c r="H140" s="66"/>
      <c r="I140" s="65" t="s">
        <v>312</v>
      </c>
      <c r="J140" s="65" t="s">
        <v>316</v>
      </c>
      <c r="K140" s="72" t="s">
        <v>463</v>
      </c>
      <c r="L140" s="73" t="s">
        <v>464</v>
      </c>
      <c r="M140" s="70" t="s">
        <v>705</v>
      </c>
      <c r="N140" s="77" t="s">
        <v>50</v>
      </c>
    </row>
    <row r="141" spans="1:14" x14ac:dyDescent="0.3">
      <c r="A141" s="63" t="str">
        <f>IF(MID($L$1,3,1)="0",CONCATENATE("0",DEC2HEX(HEX2DEC(MID($L$1,3,3))+121)),DEC2HEX(HEX2DEC(MID($L$1,3,3))+121))</f>
        <v>509</v>
      </c>
      <c r="B141" s="68" t="s">
        <v>462</v>
      </c>
      <c r="C141" s="66" t="s">
        <v>476</v>
      </c>
      <c r="D141" s="66" t="s">
        <v>476</v>
      </c>
      <c r="E141" s="65" t="s">
        <v>476</v>
      </c>
      <c r="F141" s="66" t="s">
        <v>476</v>
      </c>
      <c r="G141" s="72"/>
      <c r="H141" s="66"/>
      <c r="I141" s="65" t="s">
        <v>313</v>
      </c>
      <c r="J141" s="66" t="s">
        <v>487</v>
      </c>
      <c r="K141" s="72" t="s">
        <v>463</v>
      </c>
      <c r="L141" s="73" t="s">
        <v>464</v>
      </c>
      <c r="M141" s="70" t="s">
        <v>14</v>
      </c>
      <c r="N141" s="77" t="s">
        <v>58</v>
      </c>
    </row>
    <row r="142" spans="1:14" x14ac:dyDescent="0.3">
      <c r="A142" s="63" t="str">
        <f>IF(MID($L$1,3,1)="0",CONCATENATE("0",DEC2HEX(HEX2DEC(MID($L$1,3,3))+122)),DEC2HEX(HEX2DEC(MID($L$1,3,3))+122))</f>
        <v>50A</v>
      </c>
      <c r="B142" s="68" t="s">
        <v>462</v>
      </c>
      <c r="C142" s="66" t="s">
        <v>476</v>
      </c>
      <c r="D142" s="66" t="s">
        <v>548</v>
      </c>
      <c r="E142" s="65" t="s">
        <v>663</v>
      </c>
      <c r="F142" s="66" t="s">
        <v>476</v>
      </c>
      <c r="G142" s="72"/>
      <c r="H142" s="66" t="s">
        <v>476</v>
      </c>
      <c r="I142" s="65" t="s">
        <v>306</v>
      </c>
      <c r="J142" s="66" t="s">
        <v>476</v>
      </c>
      <c r="K142" s="72" t="s">
        <v>463</v>
      </c>
      <c r="L142" s="73" t="s">
        <v>464</v>
      </c>
      <c r="M142" s="70" t="s">
        <v>665</v>
      </c>
      <c r="N142" s="77" t="s">
        <v>664</v>
      </c>
    </row>
    <row r="143" spans="1:14" x14ac:dyDescent="0.3">
      <c r="A143" s="63" t="str">
        <f>IF(MID($L$1,3,1)="0",CONCATENATE("0",DEC2HEX(HEX2DEC(MID($L$1,3,3))+123)),DEC2HEX(HEX2DEC(MID($L$1,3,3))+123))</f>
        <v>50B</v>
      </c>
      <c r="B143" s="68" t="s">
        <v>462</v>
      </c>
      <c r="C143" s="66" t="s">
        <v>476</v>
      </c>
      <c r="D143" s="66" t="s">
        <v>476</v>
      </c>
      <c r="E143" s="65" t="s">
        <v>476</v>
      </c>
      <c r="F143" s="66" t="s">
        <v>476</v>
      </c>
      <c r="G143" s="72"/>
      <c r="H143" s="66" t="s">
        <v>476</v>
      </c>
      <c r="I143" s="65" t="s">
        <v>307</v>
      </c>
      <c r="J143" s="66" t="s">
        <v>314</v>
      </c>
      <c r="K143" s="72" t="s">
        <v>463</v>
      </c>
      <c r="L143" s="73" t="s">
        <v>464</v>
      </c>
      <c r="M143" s="70" t="s">
        <v>511</v>
      </c>
      <c r="N143" s="77" t="s">
        <v>57</v>
      </c>
    </row>
    <row r="144" spans="1:14" x14ac:dyDescent="0.3">
      <c r="A144" s="63" t="str">
        <f>IF(MID($L$1,3,1)="0",CONCATENATE("0",DEC2HEX(HEX2DEC(MID($L$1,3,3))+124)),DEC2HEX(HEX2DEC(MID($L$1,3,3))+124))</f>
        <v>50C</v>
      </c>
      <c r="B144" s="68" t="s">
        <v>462</v>
      </c>
      <c r="C144" s="66" t="s">
        <v>476</v>
      </c>
      <c r="D144" s="66" t="s">
        <v>476</v>
      </c>
      <c r="E144" s="65" t="s">
        <v>476</v>
      </c>
      <c r="F144" s="66" t="s">
        <v>476</v>
      </c>
      <c r="G144" s="72"/>
      <c r="H144" s="66" t="s">
        <v>476</v>
      </c>
      <c r="I144" s="65"/>
      <c r="J144" s="66"/>
      <c r="K144" s="72" t="s">
        <v>463</v>
      </c>
      <c r="L144" s="73" t="s">
        <v>464</v>
      </c>
      <c r="M144" s="70" t="s">
        <v>7</v>
      </c>
      <c r="N144" s="77" t="s">
        <v>36</v>
      </c>
    </row>
    <row r="145" spans="1:14" x14ac:dyDescent="0.3">
      <c r="A145" s="63" t="str">
        <f>IF(MID($L$1,3,1)="0",CONCATENATE("0",DEC2HEX(HEX2DEC(MID($L$1,3,3))+125)),DEC2HEX(HEX2DEC(MID($L$1,3,3))+125))</f>
        <v>50D</v>
      </c>
      <c r="B145" s="68" t="s">
        <v>462</v>
      </c>
      <c r="C145" s="66" t="s">
        <v>476</v>
      </c>
      <c r="D145" s="66" t="s">
        <v>476</v>
      </c>
      <c r="E145" s="65" t="s">
        <v>476</v>
      </c>
      <c r="F145" s="66" t="s">
        <v>476</v>
      </c>
      <c r="G145" s="72"/>
      <c r="H145" s="66" t="s">
        <v>476</v>
      </c>
      <c r="I145" s="65"/>
      <c r="J145" s="66"/>
      <c r="K145" s="72" t="s">
        <v>463</v>
      </c>
      <c r="L145" s="73" t="s">
        <v>464</v>
      </c>
      <c r="M145" s="70" t="s">
        <v>7</v>
      </c>
      <c r="N145" s="77" t="s">
        <v>36</v>
      </c>
    </row>
    <row r="146" spans="1:14" x14ac:dyDescent="0.3">
      <c r="A146" s="63" t="str">
        <f>IF(MID($L$1,3,1)="0",CONCATENATE("0",DEC2HEX(HEX2DEC(MID($L$1,3,3))+126)),DEC2HEX(HEX2DEC(MID($L$1,3,3))+126))</f>
        <v>50E</v>
      </c>
      <c r="B146" s="68" t="s">
        <v>462</v>
      </c>
      <c r="C146" s="66" t="s">
        <v>476</v>
      </c>
      <c r="D146" s="65"/>
      <c r="E146" s="65"/>
      <c r="F146" s="65" t="s">
        <v>476</v>
      </c>
      <c r="G146" s="68"/>
      <c r="H146" s="66" t="s">
        <v>476</v>
      </c>
      <c r="I146" s="65" t="s">
        <v>488</v>
      </c>
      <c r="J146" s="65" t="s">
        <v>316</v>
      </c>
      <c r="K146" s="72" t="s">
        <v>463</v>
      </c>
      <c r="L146" s="73" t="s">
        <v>464</v>
      </c>
      <c r="M146" s="70" t="s">
        <v>527</v>
      </c>
      <c r="N146" s="77" t="s">
        <v>716</v>
      </c>
    </row>
    <row r="147" spans="1:14" ht="15" thickBot="1" x14ac:dyDescent="0.35">
      <c r="A147" s="63" t="str">
        <f>IF(MID($L$1,3,1)="0",CONCATENATE("0",DEC2HEX(HEX2DEC(MID($L$1,3,3))+127)),DEC2HEX(HEX2DEC(MID($L$1,3,3))+127))</f>
        <v>50F</v>
      </c>
      <c r="B147" s="68" t="s">
        <v>462</v>
      </c>
      <c r="C147" s="66" t="s">
        <v>476</v>
      </c>
      <c r="D147" s="66" t="s">
        <v>476</v>
      </c>
      <c r="E147" s="65" t="s">
        <v>476</v>
      </c>
      <c r="F147" s="66" t="s">
        <v>476</v>
      </c>
      <c r="G147" s="72"/>
      <c r="H147" s="66" t="s">
        <v>297</v>
      </c>
      <c r="I147" s="65" t="s">
        <v>315</v>
      </c>
      <c r="J147" s="65" t="s">
        <v>476</v>
      </c>
      <c r="K147" s="68" t="s">
        <v>463</v>
      </c>
      <c r="L147" s="69" t="s">
        <v>464</v>
      </c>
      <c r="M147" s="70" t="s">
        <v>6</v>
      </c>
      <c r="N147" s="75" t="s">
        <v>62</v>
      </c>
    </row>
    <row r="148" spans="1:14" ht="15" thickBot="1" x14ac:dyDescent="0.35">
      <c r="A148" s="82" t="s">
        <v>702</v>
      </c>
      <c r="B148" s="83"/>
      <c r="C148" s="84" t="s">
        <v>476</v>
      </c>
      <c r="D148" s="84"/>
      <c r="E148" s="84" t="s">
        <v>476</v>
      </c>
      <c r="F148" s="84" t="s">
        <v>476</v>
      </c>
      <c r="G148" s="83"/>
      <c r="H148" s="84" t="s">
        <v>476</v>
      </c>
      <c r="I148" s="84" t="s">
        <v>476</v>
      </c>
      <c r="J148" s="84" t="s">
        <v>476</v>
      </c>
      <c r="K148" s="83"/>
      <c r="L148" s="83"/>
      <c r="M148" s="85"/>
      <c r="N148" s="86" t="s">
        <v>738</v>
      </c>
    </row>
    <row r="149" spans="1:14" x14ac:dyDescent="0.3">
      <c r="A149" s="63" t="str">
        <f>IF(MID($L$1,3,1)="0",CONCATENATE("0",DEC2HEX(HEX2DEC(MID($L$1,3,3))+128)),DEC2HEX(HEX2DEC(MID($L$1,3,3))+128))</f>
        <v>510</v>
      </c>
      <c r="B149" s="68" t="s">
        <v>462</v>
      </c>
      <c r="C149" s="65" t="s">
        <v>476</v>
      </c>
      <c r="D149" s="65" t="s">
        <v>476</v>
      </c>
      <c r="E149" s="65" t="s">
        <v>476</v>
      </c>
      <c r="F149" s="65" t="s">
        <v>476</v>
      </c>
      <c r="G149" s="68"/>
      <c r="H149" s="66"/>
      <c r="I149" s="65" t="s">
        <v>312</v>
      </c>
      <c r="J149" s="65" t="s">
        <v>316</v>
      </c>
      <c r="K149" s="72" t="s">
        <v>463</v>
      </c>
      <c r="L149" s="73" t="s">
        <v>464</v>
      </c>
      <c r="M149" s="70" t="s">
        <v>705</v>
      </c>
      <c r="N149" s="77" t="s">
        <v>50</v>
      </c>
    </row>
    <row r="150" spans="1:14" x14ac:dyDescent="0.3">
      <c r="A150" s="63" t="str">
        <f>IF(MID($L$1,3,1)="0",CONCATENATE("0",DEC2HEX(HEX2DEC(MID($L$1,3,3))+129)),DEC2HEX(HEX2DEC(MID($L$1,3,3))+129))</f>
        <v>511</v>
      </c>
      <c r="B150" s="68" t="s">
        <v>462</v>
      </c>
      <c r="C150" s="66" t="s">
        <v>476</v>
      </c>
      <c r="D150" s="66" t="s">
        <v>476</v>
      </c>
      <c r="E150" s="65" t="s">
        <v>476</v>
      </c>
      <c r="F150" s="66" t="s">
        <v>476</v>
      </c>
      <c r="G150" s="72"/>
      <c r="H150" s="66" t="s">
        <v>476</v>
      </c>
      <c r="I150" s="65" t="s">
        <v>313</v>
      </c>
      <c r="J150" s="66" t="s">
        <v>487</v>
      </c>
      <c r="K150" s="72" t="s">
        <v>463</v>
      </c>
      <c r="L150" s="73" t="s">
        <v>464</v>
      </c>
      <c r="M150" s="70" t="s">
        <v>14</v>
      </c>
      <c r="N150" s="77" t="s">
        <v>58</v>
      </c>
    </row>
    <row r="151" spans="1:14" x14ac:dyDescent="0.3">
      <c r="A151" s="63" t="str">
        <f>IF(MID($L$1,3,1)="0",CONCATENATE("0",DEC2HEX(HEX2DEC(MID($L$1,3,3))+130)),DEC2HEX(HEX2DEC(MID($L$1,3,3))+130))</f>
        <v>512</v>
      </c>
      <c r="B151" s="68" t="s">
        <v>462</v>
      </c>
      <c r="C151" s="66" t="s">
        <v>476</v>
      </c>
      <c r="D151" s="66" t="s">
        <v>476</v>
      </c>
      <c r="E151" s="65" t="s">
        <v>476</v>
      </c>
      <c r="F151" s="66" t="s">
        <v>476</v>
      </c>
      <c r="G151" s="72"/>
      <c r="H151" s="66" t="s">
        <v>476</v>
      </c>
      <c r="I151" s="65" t="s">
        <v>317</v>
      </c>
      <c r="J151" s="66" t="s">
        <v>314</v>
      </c>
      <c r="K151" s="72" t="s">
        <v>463</v>
      </c>
      <c r="L151" s="73" t="s">
        <v>464</v>
      </c>
      <c r="M151" s="70" t="s">
        <v>513</v>
      </c>
      <c r="N151" s="77" t="s">
        <v>56</v>
      </c>
    </row>
    <row r="152" spans="1:14" x14ac:dyDescent="0.3">
      <c r="A152" s="63" t="str">
        <f>IF(MID($L$1,3,1)="0",CONCATENATE("0",DEC2HEX(HEX2DEC(MID($L$1,3,3))+131)),DEC2HEX(HEX2DEC(MID($L$1,3,3))+131))</f>
        <v>513</v>
      </c>
      <c r="B152" s="68" t="s">
        <v>462</v>
      </c>
      <c r="C152" s="66" t="s">
        <v>476</v>
      </c>
      <c r="D152" s="66"/>
      <c r="E152" s="65"/>
      <c r="F152" s="66"/>
      <c r="G152" s="72"/>
      <c r="H152" s="66" t="s">
        <v>476</v>
      </c>
      <c r="I152" s="65" t="s">
        <v>488</v>
      </c>
      <c r="J152" s="65" t="s">
        <v>316</v>
      </c>
      <c r="K152" s="72" t="s">
        <v>463</v>
      </c>
      <c r="L152" s="73" t="s">
        <v>464</v>
      </c>
      <c r="M152" s="70" t="s">
        <v>527</v>
      </c>
      <c r="N152" s="77" t="s">
        <v>716</v>
      </c>
    </row>
    <row r="153" spans="1:14" x14ac:dyDescent="0.3">
      <c r="A153" s="63" t="str">
        <f>IF(MID($L$1,3,1)="0",CONCATENATE("0",DEC2HEX(HEX2DEC(MID($L$1,3,3))+132)),DEC2HEX(HEX2DEC(MID($L$1,3,3))+132))</f>
        <v>514</v>
      </c>
      <c r="B153" s="68" t="s">
        <v>462</v>
      </c>
      <c r="C153" s="66" t="s">
        <v>476</v>
      </c>
      <c r="D153" s="66"/>
      <c r="E153" s="65"/>
      <c r="F153" s="66"/>
      <c r="G153" s="72"/>
      <c r="H153" s="66" t="s">
        <v>297</v>
      </c>
      <c r="I153" s="65" t="s">
        <v>315</v>
      </c>
      <c r="J153" s="66" t="s">
        <v>476</v>
      </c>
      <c r="K153" s="72" t="s">
        <v>463</v>
      </c>
      <c r="L153" s="73" t="s">
        <v>464</v>
      </c>
      <c r="M153" s="70" t="s">
        <v>6</v>
      </c>
      <c r="N153" s="77" t="s">
        <v>717</v>
      </c>
    </row>
    <row r="154" spans="1:14" x14ac:dyDescent="0.3">
      <c r="A154" s="63" t="str">
        <f>IF(MID($L$1,3,1)="0",CONCATENATE("0",DEC2HEX(HEX2DEC(MID($L$1,3,3))+133)),DEC2HEX(HEX2DEC(MID($L$1,3,3))+133))</f>
        <v>515</v>
      </c>
      <c r="B154" s="68" t="s">
        <v>462</v>
      </c>
      <c r="C154" s="66" t="s">
        <v>476</v>
      </c>
      <c r="D154" s="66" t="s">
        <v>548</v>
      </c>
      <c r="E154" s="65" t="s">
        <v>5</v>
      </c>
      <c r="F154" s="66" t="s">
        <v>476</v>
      </c>
      <c r="G154" s="72"/>
      <c r="H154" s="66" t="s">
        <v>476</v>
      </c>
      <c r="I154" s="65" t="s">
        <v>306</v>
      </c>
      <c r="J154" s="66"/>
      <c r="K154" s="72" t="s">
        <v>463</v>
      </c>
      <c r="L154" s="73" t="s">
        <v>464</v>
      </c>
      <c r="M154" s="70" t="s">
        <v>498</v>
      </c>
      <c r="N154" s="77" t="s">
        <v>43</v>
      </c>
    </row>
    <row r="155" spans="1:14" x14ac:dyDescent="0.3">
      <c r="A155" s="63" t="str">
        <f>IF(MID($L$1,3,1)="0",CONCATENATE("0",DEC2HEX(HEX2DEC(MID($L$1,3,3))+134)),DEC2HEX(HEX2DEC(MID($L$1,3,3))+134))</f>
        <v>516</v>
      </c>
      <c r="B155" s="68" t="s">
        <v>462</v>
      </c>
      <c r="C155" s="66" t="s">
        <v>476</v>
      </c>
      <c r="D155" s="66" t="s">
        <v>476</v>
      </c>
      <c r="E155" s="65" t="s">
        <v>476</v>
      </c>
      <c r="F155" s="66" t="s">
        <v>476</v>
      </c>
      <c r="G155" s="72"/>
      <c r="H155" s="66" t="s">
        <v>476</v>
      </c>
      <c r="I155" s="65" t="s">
        <v>307</v>
      </c>
      <c r="J155" s="66" t="s">
        <v>316</v>
      </c>
      <c r="K155" s="72" t="s">
        <v>463</v>
      </c>
      <c r="L155" s="73" t="s">
        <v>464</v>
      </c>
      <c r="M155" s="70" t="s">
        <v>495</v>
      </c>
      <c r="N155" s="77" t="s">
        <v>45</v>
      </c>
    </row>
    <row r="156" spans="1:14" ht="15" thickBot="1" x14ac:dyDescent="0.35">
      <c r="A156" s="63" t="str">
        <f>IF(MID($L$1,3,1)="0",CONCATENATE("0",DEC2HEX(HEX2DEC(MID($L$1,3,3))+135)),DEC2HEX(HEX2DEC(MID($L$1,3,3))+135))</f>
        <v>517</v>
      </c>
      <c r="B156" s="68" t="s">
        <v>462</v>
      </c>
      <c r="C156" s="66" t="s">
        <v>476</v>
      </c>
      <c r="D156" s="66" t="s">
        <v>476</v>
      </c>
      <c r="E156" s="65" t="s">
        <v>476</v>
      </c>
      <c r="F156" s="66" t="s">
        <v>476</v>
      </c>
      <c r="G156" s="72"/>
      <c r="H156" s="66" t="s">
        <v>476</v>
      </c>
      <c r="I156" s="65" t="s">
        <v>476</v>
      </c>
      <c r="J156" s="65" t="s">
        <v>476</v>
      </c>
      <c r="K156" s="68" t="s">
        <v>463</v>
      </c>
      <c r="L156" s="69" t="s">
        <v>464</v>
      </c>
      <c r="M156" s="70" t="s">
        <v>7</v>
      </c>
      <c r="N156" s="75" t="s">
        <v>36</v>
      </c>
    </row>
    <row r="157" spans="1:14" ht="15" thickBot="1" x14ac:dyDescent="0.35">
      <c r="A157" s="82" t="s">
        <v>703</v>
      </c>
      <c r="B157" s="83"/>
      <c r="C157" s="84" t="s">
        <v>476</v>
      </c>
      <c r="D157" s="84"/>
      <c r="E157" s="84" t="s">
        <v>476</v>
      </c>
      <c r="F157" s="84" t="s">
        <v>476</v>
      </c>
      <c r="G157" s="83"/>
      <c r="H157" s="84" t="s">
        <v>476</v>
      </c>
      <c r="I157" s="84" t="s">
        <v>476</v>
      </c>
      <c r="J157" s="84" t="s">
        <v>476</v>
      </c>
      <c r="K157" s="83"/>
      <c r="L157" s="83"/>
      <c r="M157" s="85"/>
      <c r="N157" s="86" t="s">
        <v>743</v>
      </c>
    </row>
    <row r="158" spans="1:14" x14ac:dyDescent="0.3">
      <c r="A158" s="63" t="str">
        <f>IF(MID($L$1,3,1)="0",CONCATENATE("0",DEC2HEX(HEX2DEC(MID($L$1,3,3))+136)),DEC2HEX(HEX2DEC(MID($L$1,3,3))+136))</f>
        <v>518</v>
      </c>
      <c r="B158" s="68" t="s">
        <v>462</v>
      </c>
      <c r="C158" s="65" t="s">
        <v>476</v>
      </c>
      <c r="D158" s="66" t="s">
        <v>476</v>
      </c>
      <c r="E158" s="65" t="s">
        <v>476</v>
      </c>
      <c r="F158" s="66" t="s">
        <v>476</v>
      </c>
      <c r="G158" s="72"/>
      <c r="H158" s="66" t="s">
        <v>476</v>
      </c>
      <c r="I158" s="65" t="s">
        <v>312</v>
      </c>
      <c r="J158" s="65" t="s">
        <v>308</v>
      </c>
      <c r="K158" s="72" t="s">
        <v>463</v>
      </c>
      <c r="L158" s="73" t="s">
        <v>464</v>
      </c>
      <c r="M158" s="70" t="s">
        <v>499</v>
      </c>
      <c r="N158" s="74" t="s">
        <v>50</v>
      </c>
    </row>
    <row r="159" spans="1:14" x14ac:dyDescent="0.3">
      <c r="A159" s="63" t="str">
        <f>IF(MID($L$1,3,1)="0",CONCATENATE("0",DEC2HEX(HEX2DEC(MID($L$1,3,3))+137)),DEC2HEX(HEX2DEC(MID($L$1,3,3))+137))</f>
        <v>519</v>
      </c>
      <c r="B159" s="72" t="s">
        <v>462</v>
      </c>
      <c r="C159" s="66" t="s">
        <v>476</v>
      </c>
      <c r="D159" s="66" t="s">
        <v>476</v>
      </c>
      <c r="E159" s="65" t="s">
        <v>476</v>
      </c>
      <c r="F159" s="66" t="s">
        <v>476</v>
      </c>
      <c r="G159" s="72"/>
      <c r="H159" s="66" t="s">
        <v>476</v>
      </c>
      <c r="I159" s="65" t="s">
        <v>313</v>
      </c>
      <c r="J159" s="66" t="s">
        <v>487</v>
      </c>
      <c r="K159" s="72" t="s">
        <v>463</v>
      </c>
      <c r="L159" s="73" t="s">
        <v>464</v>
      </c>
      <c r="M159" s="70" t="s">
        <v>14</v>
      </c>
      <c r="N159" s="74" t="s">
        <v>59</v>
      </c>
    </row>
    <row r="160" spans="1:14" x14ac:dyDescent="0.3">
      <c r="A160" s="63" t="str">
        <f>IF(MID($L$1,3,1)="0",CONCATENATE("0",DEC2HEX(HEX2DEC(MID($L$1,3,3))+138)),DEC2HEX(HEX2DEC(MID($L$1,3,3))+138))</f>
        <v>51A</v>
      </c>
      <c r="B160" s="72" t="s">
        <v>462</v>
      </c>
      <c r="C160" s="66" t="s">
        <v>476</v>
      </c>
      <c r="D160" s="66" t="s">
        <v>476</v>
      </c>
      <c r="E160" s="65" t="s">
        <v>476</v>
      </c>
      <c r="F160" s="66" t="s">
        <v>476</v>
      </c>
      <c r="G160" s="72"/>
      <c r="H160" s="66" t="s">
        <v>476</v>
      </c>
      <c r="I160" s="65" t="s">
        <v>618</v>
      </c>
      <c r="J160" s="66" t="s">
        <v>314</v>
      </c>
      <c r="K160" s="72" t="s">
        <v>463</v>
      </c>
      <c r="L160" s="73" t="s">
        <v>464</v>
      </c>
      <c r="M160" s="70" t="s">
        <v>502</v>
      </c>
      <c r="N160" s="74" t="s">
        <v>60</v>
      </c>
    </row>
    <row r="161" spans="1:37" x14ac:dyDescent="0.3">
      <c r="A161" s="63" t="str">
        <f>IF(MID($L$1,3,1)="0",CONCATENATE("0",DEC2HEX(HEX2DEC(MID($L$1,3,3))+139)),DEC2HEX(HEX2DEC(MID($L$1,3,3))+139))</f>
        <v>51B</v>
      </c>
      <c r="B161" s="72" t="s">
        <v>462</v>
      </c>
      <c r="C161" s="66" t="s">
        <v>476</v>
      </c>
      <c r="D161" s="66" t="s">
        <v>476</v>
      </c>
      <c r="E161" s="65" t="s">
        <v>476</v>
      </c>
      <c r="F161" s="66" t="s">
        <v>476</v>
      </c>
      <c r="G161" s="72"/>
      <c r="H161" s="66" t="s">
        <v>476</v>
      </c>
      <c r="I161" s="65" t="s">
        <v>489</v>
      </c>
      <c r="J161" s="66" t="s">
        <v>318</v>
      </c>
      <c r="K161" s="72" t="s">
        <v>463</v>
      </c>
      <c r="L161" s="73" t="s">
        <v>464</v>
      </c>
      <c r="M161" s="70" t="s">
        <v>545</v>
      </c>
      <c r="N161" s="77" t="s">
        <v>739</v>
      </c>
    </row>
    <row r="162" spans="1:37" x14ac:dyDescent="0.3">
      <c r="A162" s="63" t="str">
        <f>IF(MID($L$1,3,1)="0",CONCATENATE("0",DEC2HEX(HEX2DEC(MID($L$1,3,3))+140)),DEC2HEX(HEX2DEC(MID($L$1,3,3))+140))</f>
        <v>51C</v>
      </c>
      <c r="B162" s="72" t="s">
        <v>462</v>
      </c>
      <c r="C162" s="66" t="s">
        <v>476</v>
      </c>
      <c r="D162" s="130" t="s">
        <v>548</v>
      </c>
      <c r="E162" s="130" t="s">
        <v>21</v>
      </c>
      <c r="F162" s="130" t="s">
        <v>476</v>
      </c>
      <c r="G162" s="132"/>
      <c r="H162" s="131" t="s">
        <v>476</v>
      </c>
      <c r="I162" s="130" t="s">
        <v>488</v>
      </c>
      <c r="J162" s="130" t="s">
        <v>476</v>
      </c>
      <c r="K162" s="132" t="s">
        <v>463</v>
      </c>
      <c r="L162" s="133" t="s">
        <v>464</v>
      </c>
      <c r="M162" s="134" t="s">
        <v>543</v>
      </c>
      <c r="N162" s="135" t="s">
        <v>544</v>
      </c>
    </row>
    <row r="163" spans="1:37" x14ac:dyDescent="0.3">
      <c r="A163" s="63" t="str">
        <f>IF(MID($L$1,3,1)="0",CONCATENATE("0",DEC2HEX(HEX2DEC(MID($L$1,3,3))+141)),DEC2HEX(HEX2DEC(MID($L$1,3,3))+141))</f>
        <v>51D</v>
      </c>
      <c r="B163" s="72" t="s">
        <v>462</v>
      </c>
      <c r="C163" s="66" t="s">
        <v>476</v>
      </c>
      <c r="D163" s="66" t="s">
        <v>476</v>
      </c>
      <c r="E163" s="65" t="s">
        <v>476</v>
      </c>
      <c r="F163" s="66" t="s">
        <v>476</v>
      </c>
      <c r="G163" s="72"/>
      <c r="H163" s="137" t="s">
        <v>298</v>
      </c>
      <c r="I163" s="136" t="s">
        <v>315</v>
      </c>
      <c r="J163" s="137" t="s">
        <v>476</v>
      </c>
      <c r="K163" s="139" t="s">
        <v>463</v>
      </c>
      <c r="L163" s="140" t="s">
        <v>464</v>
      </c>
      <c r="M163" s="138" t="s">
        <v>67</v>
      </c>
      <c r="N163" s="141" t="s">
        <v>740</v>
      </c>
    </row>
    <row r="164" spans="1:37" s="60" customFormat="1" x14ac:dyDescent="0.3">
      <c r="A164" s="63" t="str">
        <f>IF(MID($L$1,3,1)="0",CONCATENATE("0",DEC2HEX(HEX2DEC(MID($L$1,3,3))+142)),DEC2HEX(HEX2DEC(MID($L$1,3,3))+142))</f>
        <v>51E</v>
      </c>
      <c r="B164" s="72" t="s">
        <v>462</v>
      </c>
      <c r="C164" s="66" t="s">
        <v>476</v>
      </c>
      <c r="D164" s="66" t="s">
        <v>476</v>
      </c>
      <c r="E164" s="65" t="s">
        <v>476</v>
      </c>
      <c r="F164" s="66" t="s">
        <v>476</v>
      </c>
      <c r="G164" s="72"/>
      <c r="H164" s="66" t="s">
        <v>476</v>
      </c>
      <c r="I164" s="65" t="s">
        <v>317</v>
      </c>
      <c r="J164" s="66" t="s">
        <v>316</v>
      </c>
      <c r="K164" s="72" t="s">
        <v>463</v>
      </c>
      <c r="L164" s="73" t="s">
        <v>464</v>
      </c>
      <c r="M164" s="70" t="s">
        <v>741</v>
      </c>
      <c r="N164" s="77" t="s">
        <v>742</v>
      </c>
      <c r="O164" s="61"/>
      <c r="Q164" s="62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s="60" customFormat="1" ht="15" thickBot="1" x14ac:dyDescent="0.35">
      <c r="A165" s="64" t="str">
        <f>IF(MID($L$1,3,1)="0",CONCATENATE("0",DEC2HEX(HEX2DEC(MID($L$1,3,3))+143)),DEC2HEX(HEX2DEC(MID($L$1,3,3))+143))</f>
        <v>51F</v>
      </c>
      <c r="B165" s="79" t="s">
        <v>35</v>
      </c>
      <c r="C165" s="67" t="s">
        <v>476</v>
      </c>
      <c r="D165" s="67" t="s">
        <v>476</v>
      </c>
      <c r="E165" s="99" t="s">
        <v>476</v>
      </c>
      <c r="F165" s="67" t="s">
        <v>476</v>
      </c>
      <c r="G165" s="79"/>
      <c r="H165" s="67" t="s">
        <v>476</v>
      </c>
      <c r="I165" s="99" t="s">
        <v>476</v>
      </c>
      <c r="J165" s="67" t="s">
        <v>476</v>
      </c>
      <c r="K165" s="79" t="s">
        <v>463</v>
      </c>
      <c r="L165" s="80" t="s">
        <v>464</v>
      </c>
      <c r="M165" s="100" t="s">
        <v>493</v>
      </c>
      <c r="N165" s="101" t="s">
        <v>40</v>
      </c>
      <c r="O165" s="61"/>
      <c r="Q165" s="62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5" thickTop="1" x14ac:dyDescent="0.3"/>
  </sheetData>
  <dataValidations count="12">
    <dataValidation type="list" allowBlank="1" showInputMessage="1" showErrorMessage="1" sqref="B6:B12 B15:B21 B39 B48 B66 B75 B57 B93 B102 B111 B84 B120 B129 B138 B147 B156 B159:B165">
      <formula1>"Next,Decode,Fetch"</formula1>
    </dataValidation>
    <dataValidation type="list" showInputMessage="1" showErrorMessage="1" sqref="D5:D12 D23:D30 D149:D156 D14:D21 D32:D39 D50:D57 D41:D48 D68:D75 D59:D66 D158:D165 D77:D84 D86:D93 D104:D111 D131:D138 D113:D120 D122:D129 D140:D147 D95:D102">
      <formula1>"Enable"</formula1>
    </dataValidation>
    <dataValidation type="list" allowBlank="1" showInputMessage="1" showErrorMessage="1" sqref="G5:G12 G23:G30 G149:G156 G14:G21 G32:G39 G50:G57 G41:G48 G68:G75 G59:G66 G158:G165 G77:G84 G86:G93 G131:G138 G104:G111 G113:G120 G122:G129 G140:G147 G95:G102">
      <formula1>"S,O,Z,NS,NO,NZ"</formula1>
    </dataValidation>
    <dataValidation type="list" allowBlank="1" showInputMessage="1" showErrorMessage="1" sqref="F5:F12 F23:F30 F149:F156 F14:F21 F32:F39 F50:F57 F41:F48 F68:F75 F59:F66 F158:F165 F77:F84 F86:F93 F131:F138 F104:F111 F113:F120 F122:F129 F140:F147 F95:F102">
      <formula1>"Affect"</formula1>
    </dataValidation>
    <dataValidation type="list" allowBlank="1" showInputMessage="1" showErrorMessage="1" sqref="C5:C12 C14:C21 C23:C30 C32:C39 C41:C48 C59:C66 C68:C75 C50:C57 C86:C93 C104:C111 C158:C165 C77:C84 C113:C120 C122:C129 C131:C138 C140:C147 C149:C156 C95:C102">
      <formula1>"Clear"</formula1>
    </dataValidation>
    <dataValidation type="list" allowBlank="1" showInputMessage="1" showErrorMessage="1" sqref="H5:H12 H149:H156 H23:H30 H14:H21 H32:H39 H50:H57 H41:H48 H158:H165 H59:H66 H68:H75 H77:H84 H86:H93 H122:H129 H104:H111 H131:H138 H113:H120 H140:H147 H95:H102">
      <formula1>"ADD,AND,DEC,DIV,INC,MOD,MUL,NOT,OR,ROL,ROR,SHL,SHR,SUB,XOR"</formula1>
    </dataValidation>
    <dataValidation type="list" allowBlank="1" showInputMessage="1" showErrorMessage="1" sqref="J5:J12 J23:J30 J149:J156 J14:J21 J32:J39 J50:J57 J41:J48 J158:J165 J59:J66 J68:J75 J77:J84 J86:J93 J104:J111 J131:J138 J140:J147 J122:J129 J113:J120 J95:J102">
      <formula1>"from DATA,from IP,from MAR,from MBR,from MDR,from RES,from [SEL],from SR"</formula1>
    </dataValidation>
    <dataValidation type="list" showInputMessage="1" showErrorMessage="1" sqref="L5:L12 L23:L30 L149:L156 L14:L21 L32:L39 L50:L57 L41:L48 L158:L165 L59:L66 L68:L75 L77:L84 L86:L93 L104:L111 L131:L138 L140:L147 L122:L129 L113:L120 L95:L102">
      <formula1>"IO,MEM"</formula1>
    </dataValidation>
    <dataValidation type="list" showInputMessage="1" showErrorMessage="1" sqref="K5:K12 K23:K30 K149:K156 K14:K21 K32:K39 K50:K57 K41:K48 K158:K165 K59:K66 K68:K75 K77:K84 K86:K93 K104:K111 K131:K138 K140:K147 K122:K129 K113:K120 K95:K102">
      <formula1>"R,W"</formula1>
    </dataValidation>
    <dataValidation type="list" showErrorMessage="1" errorTitle="Next MIP Address" error="Empty field not allowed" sqref="B158 B14 B23:B30 B32:B38 B41:B47 B50:B56 B59:B65 B68:B74 B77:B83 B86:B92 B104:B110 B95:B101 B113:B119 B122:B128 B131:B137 B140:B146 B149:B155 B5">
      <formula1>"Next,Decode,Fetch"</formula1>
    </dataValidation>
    <dataValidation type="textLength" allowBlank="1" showInputMessage="1" showErrorMessage="1" errorTitle="Hex number required" error="Enter a 3-digit hex number, e.g. 04A, 00C, 7A9" sqref="E5:E12 E23:E30 E149:E156 E14:E21 E32:E39 E50:E57 E41:E48 E68:E75 E59:E66 E158:E165 E77:E84 E86:E93 E104:E111 E131:E138 E113:E120 E122:E129 E140:E147 E95:E102">
      <formula1>3</formula1>
      <formula2>3</formula2>
    </dataValidation>
    <dataValidation type="list" allowBlank="1" showInputMessage="1" showErrorMessage="1" sqref="I5:I12 I23:I30 I149:I156 I14:I21 I32:I39 I50:I57 I41:I48 I158:I165 I59:I66 I68:I75 I77:I84 I86:I93 I104:I111 I131:I138 I140:I147 I122:I129 I113:I120 I95:I102">
      <formula1>"to IP,to IR,to MAR,to MBR,to MDR,to RES,to SEL,to [SEL],to SR,to X,to Y"</formula1>
    </dataValidation>
  </dataValidations>
  <pageMargins left="0.7" right="0.7" top="0.78740157499999996" bottom="0.78740157499999996" header="0.3" footer="0.3"/>
  <pageSetup paperSize="8" scale="42" fitToWidth="0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1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27</v>
      </c>
      <c r="B1" s="95"/>
      <c r="C1" s="96"/>
      <c r="D1" s="95"/>
      <c r="E1" s="97" t="s">
        <v>29</v>
      </c>
      <c r="F1" s="96"/>
      <c r="G1" s="96" t="str">
        <f>'Decoder Table'!A58</f>
        <v>0xFF</v>
      </c>
      <c r="H1" s="96"/>
      <c r="I1" s="97" t="s">
        <v>471</v>
      </c>
      <c r="J1" s="96"/>
      <c r="K1" s="96"/>
      <c r="L1" s="96" t="str">
        <f>CONCATENATE("0x",'Decoder Table'!B58)</f>
        <v>0x420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12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13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420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476</v>
      </c>
      <c r="J5" s="65" t="s">
        <v>476</v>
      </c>
      <c r="K5" s="68" t="s">
        <v>463</v>
      </c>
      <c r="L5" s="69" t="s">
        <v>464</v>
      </c>
      <c r="M5" s="70" t="s">
        <v>7</v>
      </c>
      <c r="N5" s="71" t="s">
        <v>36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421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476</v>
      </c>
      <c r="J6" s="66" t="s">
        <v>476</v>
      </c>
      <c r="K6" s="72" t="s">
        <v>463</v>
      </c>
      <c r="L6" s="73" t="s">
        <v>464</v>
      </c>
      <c r="M6" s="70" t="s">
        <v>7</v>
      </c>
      <c r="N6" s="74" t="s">
        <v>36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422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476</v>
      </c>
      <c r="J7" s="66" t="s">
        <v>476</v>
      </c>
      <c r="K7" s="72" t="s">
        <v>463</v>
      </c>
      <c r="L7" s="73" t="s">
        <v>464</v>
      </c>
      <c r="M7" s="70" t="s">
        <v>7</v>
      </c>
      <c r="N7" s="74" t="s">
        <v>36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423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476</v>
      </c>
      <c r="J8" s="66" t="s">
        <v>476</v>
      </c>
      <c r="K8" s="72" t="s">
        <v>463</v>
      </c>
      <c r="L8" s="73" t="s">
        <v>464</v>
      </c>
      <c r="M8" s="70" t="s">
        <v>7</v>
      </c>
      <c r="N8" s="74" t="s">
        <v>36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424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476</v>
      </c>
      <c r="J9" s="66" t="s">
        <v>476</v>
      </c>
      <c r="K9" s="72" t="s">
        <v>463</v>
      </c>
      <c r="L9" s="73" t="s">
        <v>464</v>
      </c>
      <c r="M9" s="70" t="s">
        <v>7</v>
      </c>
      <c r="N9" s="74" t="s">
        <v>36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425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426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427</v>
      </c>
      <c r="B12" s="79" t="s">
        <v>35</v>
      </c>
      <c r="C12" s="67" t="s">
        <v>476</v>
      </c>
      <c r="D12" s="67" t="s">
        <v>476</v>
      </c>
      <c r="E12" s="99" t="s">
        <v>476</v>
      </c>
      <c r="F12" s="67" t="s">
        <v>476</v>
      </c>
      <c r="G12" s="79"/>
      <c r="H12" s="67" t="s">
        <v>476</v>
      </c>
      <c r="I12" s="99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2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230</v>
      </c>
      <c r="B1" s="95"/>
      <c r="C1" s="96"/>
      <c r="D1" s="95"/>
      <c r="E1" s="97" t="s">
        <v>29</v>
      </c>
      <c r="F1" s="96"/>
      <c r="G1" s="96" t="str">
        <f>'Decoder Table'!A21</f>
        <v>0xAD</v>
      </c>
      <c r="H1" s="96"/>
      <c r="I1" s="97" t="s">
        <v>471</v>
      </c>
      <c r="J1" s="96"/>
      <c r="K1" s="96"/>
      <c r="L1" s="96" t="str">
        <f>CONCATENATE("0x",'Decoder Table'!B21)</f>
        <v>0x148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148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149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14A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14B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14C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14D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14E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14F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150</v>
      </c>
      <c r="B14" s="285" t="s">
        <v>462</v>
      </c>
      <c r="C14" s="282" t="s">
        <v>476</v>
      </c>
      <c r="D14" s="282" t="s">
        <v>476</v>
      </c>
      <c r="E14" s="282" t="s">
        <v>476</v>
      </c>
      <c r="F14" s="282" t="s">
        <v>476</v>
      </c>
      <c r="G14" s="285"/>
      <c r="H14" s="283" t="s">
        <v>476</v>
      </c>
      <c r="I14" s="282" t="s">
        <v>306</v>
      </c>
      <c r="J14" s="282" t="s">
        <v>314</v>
      </c>
      <c r="K14" s="285" t="s">
        <v>463</v>
      </c>
      <c r="L14" s="286" t="s">
        <v>464</v>
      </c>
      <c r="M14" s="287" t="s">
        <v>494</v>
      </c>
      <c r="N14" s="290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151</v>
      </c>
      <c r="B15" s="285" t="s">
        <v>462</v>
      </c>
      <c r="C15" s="283" t="s">
        <v>476</v>
      </c>
      <c r="D15" s="283" t="s">
        <v>476</v>
      </c>
      <c r="E15" s="282" t="s">
        <v>476</v>
      </c>
      <c r="F15" s="283" t="s">
        <v>476</v>
      </c>
      <c r="G15" s="288"/>
      <c r="H15" s="283" t="s">
        <v>476</v>
      </c>
      <c r="I15" s="282" t="s">
        <v>488</v>
      </c>
      <c r="J15" s="283" t="s">
        <v>308</v>
      </c>
      <c r="K15" s="288" t="s">
        <v>463</v>
      </c>
      <c r="L15" s="289" t="s">
        <v>464</v>
      </c>
      <c r="M15" s="287" t="s">
        <v>519</v>
      </c>
      <c r="N15" s="291" t="s">
        <v>520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152</v>
      </c>
      <c r="B16" s="285" t="s">
        <v>462</v>
      </c>
      <c r="C16" s="283" t="s">
        <v>476</v>
      </c>
      <c r="D16" s="283" t="s">
        <v>476</v>
      </c>
      <c r="E16" s="282" t="s">
        <v>476</v>
      </c>
      <c r="F16" s="283" t="s">
        <v>479</v>
      </c>
      <c r="G16" s="288"/>
      <c r="H16" s="283" t="s">
        <v>300</v>
      </c>
      <c r="I16" s="282" t="s">
        <v>315</v>
      </c>
      <c r="J16" s="283" t="s">
        <v>476</v>
      </c>
      <c r="K16" s="288" t="s">
        <v>463</v>
      </c>
      <c r="L16" s="289" t="s">
        <v>464</v>
      </c>
      <c r="M16" s="287" t="s">
        <v>101</v>
      </c>
      <c r="N16" s="291" t="s">
        <v>102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153</v>
      </c>
      <c r="B17" s="285" t="s">
        <v>462</v>
      </c>
      <c r="C17" s="283" t="s">
        <v>476</v>
      </c>
      <c r="D17" s="283" t="s">
        <v>476</v>
      </c>
      <c r="E17" s="282" t="s">
        <v>476</v>
      </c>
      <c r="F17" s="283" t="s">
        <v>476</v>
      </c>
      <c r="G17" s="288"/>
      <c r="H17" s="283" t="s">
        <v>476</v>
      </c>
      <c r="I17" s="282" t="s">
        <v>307</v>
      </c>
      <c r="J17" s="283" t="s">
        <v>316</v>
      </c>
      <c r="K17" s="288" t="s">
        <v>463</v>
      </c>
      <c r="L17" s="289" t="s">
        <v>464</v>
      </c>
      <c r="M17" s="287" t="s">
        <v>495</v>
      </c>
      <c r="N17" s="291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154</v>
      </c>
      <c r="B18" s="285" t="s">
        <v>462</v>
      </c>
      <c r="C18" s="283" t="s">
        <v>476</v>
      </c>
      <c r="D18" s="283" t="s">
        <v>476</v>
      </c>
      <c r="E18" s="282" t="s">
        <v>476</v>
      </c>
      <c r="F18" s="283" t="s">
        <v>476</v>
      </c>
      <c r="G18" s="288"/>
      <c r="H18" s="283" t="s">
        <v>476</v>
      </c>
      <c r="I18" s="282" t="s">
        <v>476</v>
      </c>
      <c r="J18" s="283" t="s">
        <v>476</v>
      </c>
      <c r="K18" s="288" t="s">
        <v>463</v>
      </c>
      <c r="L18" s="289" t="s">
        <v>464</v>
      </c>
      <c r="M18" s="287" t="s">
        <v>7</v>
      </c>
      <c r="N18" s="291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155</v>
      </c>
      <c r="B19" s="285" t="s">
        <v>462</v>
      </c>
      <c r="C19" s="283" t="s">
        <v>476</v>
      </c>
      <c r="D19" s="283" t="s">
        <v>476</v>
      </c>
      <c r="E19" s="282" t="s">
        <v>476</v>
      </c>
      <c r="F19" s="283" t="s">
        <v>476</v>
      </c>
      <c r="G19" s="288"/>
      <c r="H19" s="283" t="s">
        <v>476</v>
      </c>
      <c r="I19" s="282" t="s">
        <v>476</v>
      </c>
      <c r="J19" s="283" t="s">
        <v>476</v>
      </c>
      <c r="K19" s="288" t="s">
        <v>463</v>
      </c>
      <c r="L19" s="289" t="s">
        <v>464</v>
      </c>
      <c r="M19" s="287" t="s">
        <v>7</v>
      </c>
      <c r="N19" s="291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156</v>
      </c>
      <c r="B20" s="285" t="s">
        <v>462</v>
      </c>
      <c r="C20" s="283" t="s">
        <v>476</v>
      </c>
      <c r="D20" s="283" t="s">
        <v>476</v>
      </c>
      <c r="E20" s="282" t="s">
        <v>476</v>
      </c>
      <c r="F20" s="283" t="s">
        <v>476</v>
      </c>
      <c r="G20" s="288"/>
      <c r="H20" s="283" t="s">
        <v>476</v>
      </c>
      <c r="I20" s="282" t="s">
        <v>476</v>
      </c>
      <c r="J20" s="283" t="s">
        <v>476</v>
      </c>
      <c r="K20" s="288" t="s">
        <v>463</v>
      </c>
      <c r="L20" s="289" t="s">
        <v>464</v>
      </c>
      <c r="M20" s="287" t="s">
        <v>7</v>
      </c>
      <c r="N20" s="291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157</v>
      </c>
      <c r="B21" s="292" t="s">
        <v>35</v>
      </c>
      <c r="C21" s="284" t="s">
        <v>476</v>
      </c>
      <c r="D21" s="284" t="s">
        <v>476</v>
      </c>
      <c r="E21" s="284" t="s">
        <v>476</v>
      </c>
      <c r="F21" s="284" t="s">
        <v>476</v>
      </c>
      <c r="G21" s="292"/>
      <c r="H21" s="284" t="s">
        <v>476</v>
      </c>
      <c r="I21" s="284" t="s">
        <v>476</v>
      </c>
      <c r="J21" s="284" t="s">
        <v>476</v>
      </c>
      <c r="K21" s="292" t="s">
        <v>463</v>
      </c>
      <c r="L21" s="293" t="s">
        <v>464</v>
      </c>
      <c r="M21" s="295" t="s">
        <v>493</v>
      </c>
      <c r="N21" s="294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3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762</v>
      </c>
      <c r="B1" s="95"/>
      <c r="C1" s="96"/>
      <c r="D1" s="95"/>
      <c r="E1" s="97" t="s">
        <v>29</v>
      </c>
      <c r="F1" s="96"/>
      <c r="G1" s="96" t="str">
        <f>'Decoder Table'!A28</f>
        <v>0xBB</v>
      </c>
      <c r="H1" s="96"/>
      <c r="I1" s="97" t="s">
        <v>471</v>
      </c>
      <c r="J1" s="96"/>
      <c r="K1" s="96"/>
      <c r="L1" s="96" t="str">
        <f>CONCATENATE("0x",'Decoder Table'!B28)</f>
        <v>0x1E8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1E8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1E9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1EA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1EB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1EC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1ED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1EE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1EF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1F0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1F1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1F2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1F3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1F4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1F5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1F6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1F7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1F8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488</v>
      </c>
      <c r="J23" s="65" t="s">
        <v>311</v>
      </c>
      <c r="K23" s="68" t="s">
        <v>463</v>
      </c>
      <c r="L23" s="69" t="s">
        <v>464</v>
      </c>
      <c r="M23" s="70" t="s">
        <v>530</v>
      </c>
      <c r="N23" s="76" t="s">
        <v>531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1F9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521</v>
      </c>
      <c r="N24" s="77" t="s">
        <v>532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1FA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479</v>
      </c>
      <c r="G25" s="72"/>
      <c r="H25" s="66" t="s">
        <v>298</v>
      </c>
      <c r="I25" s="65" t="s">
        <v>315</v>
      </c>
      <c r="J25" s="66" t="s">
        <v>476</v>
      </c>
      <c r="K25" s="72" t="s">
        <v>463</v>
      </c>
      <c r="L25" s="73" t="s">
        <v>464</v>
      </c>
      <c r="M25" s="70" t="s">
        <v>67</v>
      </c>
      <c r="N25" s="77" t="s">
        <v>129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1FB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495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1FC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1FD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1FE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1FF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4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763</v>
      </c>
      <c r="B1" s="95"/>
      <c r="C1" s="96"/>
      <c r="D1" s="95"/>
      <c r="E1" s="97" t="s">
        <v>29</v>
      </c>
      <c r="F1" s="96"/>
      <c r="G1" s="96" t="str">
        <f>'Decoder Table'!A19</f>
        <v>0xAB</v>
      </c>
      <c r="H1" s="96"/>
      <c r="I1" s="97" t="s">
        <v>471</v>
      </c>
      <c r="J1" s="96"/>
      <c r="K1" s="96"/>
      <c r="L1" s="96" t="str">
        <f>CONCATENATE("0x",'Decoder Table'!B19)</f>
        <v>0x118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118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119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11A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11B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11C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11D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11E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11F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120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121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122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123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124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125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126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127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128</v>
      </c>
      <c r="B23" s="299" t="s">
        <v>462</v>
      </c>
      <c r="C23" s="296" t="s">
        <v>476</v>
      </c>
      <c r="D23" s="296" t="s">
        <v>476</v>
      </c>
      <c r="E23" s="296" t="s">
        <v>476</v>
      </c>
      <c r="F23" s="296" t="s">
        <v>476</v>
      </c>
      <c r="G23" s="299"/>
      <c r="H23" s="297" t="s">
        <v>476</v>
      </c>
      <c r="I23" s="296" t="s">
        <v>306</v>
      </c>
      <c r="J23" s="296" t="s">
        <v>314</v>
      </c>
      <c r="K23" s="299" t="s">
        <v>463</v>
      </c>
      <c r="L23" s="300" t="s">
        <v>464</v>
      </c>
      <c r="M23" s="301" t="s">
        <v>494</v>
      </c>
      <c r="N23" s="304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129</v>
      </c>
      <c r="B24" s="299" t="s">
        <v>462</v>
      </c>
      <c r="C24" s="297" t="s">
        <v>476</v>
      </c>
      <c r="D24" s="297" t="s">
        <v>476</v>
      </c>
      <c r="E24" s="296" t="s">
        <v>476</v>
      </c>
      <c r="F24" s="297" t="s">
        <v>476</v>
      </c>
      <c r="G24" s="302"/>
      <c r="H24" s="297" t="s">
        <v>476</v>
      </c>
      <c r="I24" s="296" t="s">
        <v>488</v>
      </c>
      <c r="J24" s="297" t="s">
        <v>308</v>
      </c>
      <c r="K24" s="302" t="s">
        <v>463</v>
      </c>
      <c r="L24" s="303" t="s">
        <v>464</v>
      </c>
      <c r="M24" s="301" t="s">
        <v>519</v>
      </c>
      <c r="N24" s="305" t="s">
        <v>525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12A</v>
      </c>
      <c r="B25" s="299" t="s">
        <v>462</v>
      </c>
      <c r="C25" s="297" t="s">
        <v>476</v>
      </c>
      <c r="D25" s="297" t="s">
        <v>476</v>
      </c>
      <c r="E25" s="296" t="s">
        <v>476</v>
      </c>
      <c r="F25" s="297" t="s">
        <v>476</v>
      </c>
      <c r="G25" s="302"/>
      <c r="H25" s="297" t="s">
        <v>476</v>
      </c>
      <c r="I25" s="296" t="s">
        <v>489</v>
      </c>
      <c r="J25" s="297" t="s">
        <v>316</v>
      </c>
      <c r="K25" s="302" t="s">
        <v>463</v>
      </c>
      <c r="L25" s="303" t="s">
        <v>464</v>
      </c>
      <c r="M25" s="301" t="s">
        <v>526</v>
      </c>
      <c r="N25" s="305" t="s">
        <v>522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12B</v>
      </c>
      <c r="B26" s="299" t="s">
        <v>462</v>
      </c>
      <c r="C26" s="297" t="s">
        <v>476</v>
      </c>
      <c r="D26" s="297" t="s">
        <v>476</v>
      </c>
      <c r="E26" s="296" t="s">
        <v>476</v>
      </c>
      <c r="F26" s="297" t="s">
        <v>479</v>
      </c>
      <c r="G26" s="302"/>
      <c r="H26" s="297" t="s">
        <v>298</v>
      </c>
      <c r="I26" s="296" t="s">
        <v>315</v>
      </c>
      <c r="J26" s="297" t="s">
        <v>476</v>
      </c>
      <c r="K26" s="302" t="s">
        <v>463</v>
      </c>
      <c r="L26" s="303" t="s">
        <v>464</v>
      </c>
      <c r="M26" s="301" t="s">
        <v>151</v>
      </c>
      <c r="N26" s="305" t="s">
        <v>129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12C</v>
      </c>
      <c r="B27" s="299" t="s">
        <v>462</v>
      </c>
      <c r="C27" s="297" t="s">
        <v>476</v>
      </c>
      <c r="D27" s="297" t="s">
        <v>476</v>
      </c>
      <c r="E27" s="296" t="s">
        <v>476</v>
      </c>
      <c r="F27" s="297" t="s">
        <v>476</v>
      </c>
      <c r="G27" s="302"/>
      <c r="H27" s="297" t="s">
        <v>476</v>
      </c>
      <c r="I27" s="296" t="s">
        <v>306</v>
      </c>
      <c r="J27" s="297" t="s">
        <v>311</v>
      </c>
      <c r="K27" s="302" t="s">
        <v>463</v>
      </c>
      <c r="L27" s="303" t="s">
        <v>464</v>
      </c>
      <c r="M27" s="301" t="s">
        <v>497</v>
      </c>
      <c r="N27" s="305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12D</v>
      </c>
      <c r="B28" s="299" t="s">
        <v>462</v>
      </c>
      <c r="C28" s="297" t="s">
        <v>476</v>
      </c>
      <c r="D28" s="297" t="s">
        <v>476</v>
      </c>
      <c r="E28" s="296" t="s">
        <v>476</v>
      </c>
      <c r="F28" s="297" t="s">
        <v>476</v>
      </c>
      <c r="G28" s="302"/>
      <c r="H28" s="297" t="s">
        <v>476</v>
      </c>
      <c r="I28" s="296" t="s">
        <v>307</v>
      </c>
      <c r="J28" s="297" t="s">
        <v>316</v>
      </c>
      <c r="K28" s="302" t="s">
        <v>463</v>
      </c>
      <c r="L28" s="303" t="s">
        <v>464</v>
      </c>
      <c r="M28" s="301" t="s">
        <v>495</v>
      </c>
      <c r="N28" s="305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12E</v>
      </c>
      <c r="B29" s="299" t="s">
        <v>462</v>
      </c>
      <c r="C29" s="297" t="s">
        <v>476</v>
      </c>
      <c r="D29" s="297" t="s">
        <v>476</v>
      </c>
      <c r="E29" s="296" t="s">
        <v>476</v>
      </c>
      <c r="F29" s="297" t="s">
        <v>476</v>
      </c>
      <c r="G29" s="302"/>
      <c r="H29" s="297" t="s">
        <v>476</v>
      </c>
      <c r="I29" s="296" t="s">
        <v>476</v>
      </c>
      <c r="J29" s="297" t="s">
        <v>476</v>
      </c>
      <c r="K29" s="302" t="s">
        <v>463</v>
      </c>
      <c r="L29" s="303" t="s">
        <v>464</v>
      </c>
      <c r="M29" s="301" t="s">
        <v>7</v>
      </c>
      <c r="N29" s="305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12F</v>
      </c>
      <c r="B30" s="306" t="s">
        <v>35</v>
      </c>
      <c r="C30" s="298" t="s">
        <v>476</v>
      </c>
      <c r="D30" s="298" t="s">
        <v>476</v>
      </c>
      <c r="E30" s="298" t="s">
        <v>476</v>
      </c>
      <c r="F30" s="298" t="s">
        <v>476</v>
      </c>
      <c r="G30" s="306"/>
      <c r="H30" s="298" t="s">
        <v>476</v>
      </c>
      <c r="I30" s="298" t="s">
        <v>476</v>
      </c>
      <c r="J30" s="298" t="s">
        <v>476</v>
      </c>
      <c r="K30" s="306" t="s">
        <v>463</v>
      </c>
      <c r="L30" s="307" t="s">
        <v>464</v>
      </c>
      <c r="M30" s="309" t="s">
        <v>493</v>
      </c>
      <c r="N30" s="308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disablePrompts="1"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5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764</v>
      </c>
      <c r="B1" s="95"/>
      <c r="C1" s="96"/>
      <c r="D1" s="95"/>
      <c r="E1" s="97" t="s">
        <v>29</v>
      </c>
      <c r="F1" s="96"/>
      <c r="G1" s="96" t="str">
        <f>'Decoder Table'!A55</f>
        <v>0xF1</v>
      </c>
      <c r="H1" s="96"/>
      <c r="I1" s="97" t="s">
        <v>471</v>
      </c>
      <c r="J1" s="96"/>
      <c r="K1" s="96"/>
      <c r="L1" s="96" t="str">
        <f>CONCATENATE("0x",'Decoder Table'!B55)</f>
        <v>0x400</v>
      </c>
      <c r="M1" s="96"/>
      <c r="N1" s="98" t="s">
        <v>801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400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401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402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403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404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405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406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407</v>
      </c>
      <c r="B12" s="72" t="s">
        <v>462</v>
      </c>
      <c r="C12" s="66" t="s">
        <v>476</v>
      </c>
      <c r="D12" s="66" t="s">
        <v>548</v>
      </c>
      <c r="E12" s="65" t="s">
        <v>3</v>
      </c>
      <c r="F12" s="66" t="s">
        <v>476</v>
      </c>
      <c r="G12" s="72"/>
      <c r="H12" s="66" t="s">
        <v>476</v>
      </c>
      <c r="I12" s="65" t="s">
        <v>306</v>
      </c>
      <c r="J12" s="66" t="s">
        <v>476</v>
      </c>
      <c r="K12" s="72" t="s">
        <v>463</v>
      </c>
      <c r="L12" s="73" t="s">
        <v>464</v>
      </c>
      <c r="M12" s="70" t="s">
        <v>514</v>
      </c>
      <c r="N12" s="75" t="s">
        <v>82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408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314</v>
      </c>
      <c r="K14" s="68" t="s">
        <v>463</v>
      </c>
      <c r="L14" s="69" t="s">
        <v>486</v>
      </c>
      <c r="M14" s="70" t="s">
        <v>507</v>
      </c>
      <c r="N14" s="76" t="s">
        <v>78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409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308</v>
      </c>
      <c r="K15" s="72" t="s">
        <v>478</v>
      </c>
      <c r="L15" s="73" t="s">
        <v>486</v>
      </c>
      <c r="M15" s="70" t="s">
        <v>508</v>
      </c>
      <c r="N15" s="77" t="s">
        <v>84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40A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476</v>
      </c>
      <c r="J16" s="66" t="s">
        <v>476</v>
      </c>
      <c r="K16" s="72" t="s">
        <v>478</v>
      </c>
      <c r="L16" s="73" t="s">
        <v>486</v>
      </c>
      <c r="M16" s="70" t="s">
        <v>7</v>
      </c>
      <c r="N16" s="77" t="s">
        <v>36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40B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476</v>
      </c>
      <c r="J17" s="66" t="s">
        <v>476</v>
      </c>
      <c r="K17" s="72" t="s">
        <v>478</v>
      </c>
      <c r="L17" s="73" t="s">
        <v>486</v>
      </c>
      <c r="M17" s="70" t="s">
        <v>7</v>
      </c>
      <c r="N17" s="77" t="s">
        <v>36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40C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476</v>
      </c>
      <c r="J18" s="66" t="s">
        <v>476</v>
      </c>
      <c r="K18" s="72" t="s">
        <v>478</v>
      </c>
      <c r="L18" s="73" t="s">
        <v>486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40D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478</v>
      </c>
      <c r="L19" s="73" t="s">
        <v>486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40E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486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40F</v>
      </c>
      <c r="B21" s="79" t="s">
        <v>35</v>
      </c>
      <c r="C21" s="67" t="s">
        <v>476</v>
      </c>
      <c r="D21" s="67" t="s">
        <v>476</v>
      </c>
      <c r="E21" s="67" t="s">
        <v>476</v>
      </c>
      <c r="F21" s="67" t="s">
        <v>476</v>
      </c>
      <c r="G21" s="79"/>
      <c r="H21" s="67" t="s">
        <v>476</v>
      </c>
      <c r="I21" s="67" t="s">
        <v>476</v>
      </c>
      <c r="J21" s="67" t="s">
        <v>476</v>
      </c>
      <c r="K21" s="79" t="s">
        <v>463</v>
      </c>
      <c r="L21" s="80" t="s">
        <v>464</v>
      </c>
      <c r="M21" s="100" t="s">
        <v>493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6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765</v>
      </c>
      <c r="B1" s="95"/>
      <c r="C1" s="96"/>
      <c r="D1" s="95"/>
      <c r="E1" s="97" t="s">
        <v>29</v>
      </c>
      <c r="F1" s="96"/>
      <c r="G1" s="96" t="str">
        <f>'Decoder Table'!A51</f>
        <v>0xE1</v>
      </c>
      <c r="H1" s="96"/>
      <c r="I1" s="97" t="s">
        <v>471</v>
      </c>
      <c r="J1" s="96"/>
      <c r="K1" s="96"/>
      <c r="L1" s="96" t="str">
        <f>CONCATENATE("0x",'Decoder Table'!B51)</f>
        <v>0x3D0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3D0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3D1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3D2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55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3D3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3D4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3D5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3D6</v>
      </c>
      <c r="B11" s="72" t="s">
        <v>462</v>
      </c>
      <c r="C11" s="66" t="s">
        <v>476</v>
      </c>
      <c r="D11" s="66" t="s">
        <v>548</v>
      </c>
      <c r="E11" s="65" t="s">
        <v>5</v>
      </c>
      <c r="F11" s="66" t="s">
        <v>476</v>
      </c>
      <c r="G11" s="72"/>
      <c r="H11" s="66" t="s">
        <v>476</v>
      </c>
      <c r="I11" s="65" t="s">
        <v>306</v>
      </c>
      <c r="J11" s="66" t="s">
        <v>476</v>
      </c>
      <c r="K11" s="72" t="s">
        <v>463</v>
      </c>
      <c r="L11" s="73" t="s">
        <v>464</v>
      </c>
      <c r="M11" s="70" t="s">
        <v>498</v>
      </c>
      <c r="N11" s="74" t="s">
        <v>43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3D7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488</v>
      </c>
      <c r="J12" s="66" t="s">
        <v>308</v>
      </c>
      <c r="K12" s="72" t="s">
        <v>463</v>
      </c>
      <c r="L12" s="73" t="s">
        <v>464</v>
      </c>
      <c r="M12" s="70" t="s">
        <v>519</v>
      </c>
      <c r="N12" s="75" t="s">
        <v>540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3D8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297</v>
      </c>
      <c r="I14" s="65" t="s">
        <v>315</v>
      </c>
      <c r="J14" s="65" t="s">
        <v>476</v>
      </c>
      <c r="K14" s="68" t="s">
        <v>463</v>
      </c>
      <c r="L14" s="69" t="s">
        <v>464</v>
      </c>
      <c r="M14" s="70" t="s">
        <v>6</v>
      </c>
      <c r="N14" s="76" t="s">
        <v>62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3D9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307</v>
      </c>
      <c r="J15" s="66" t="s">
        <v>316</v>
      </c>
      <c r="K15" s="72" t="s">
        <v>463</v>
      </c>
      <c r="L15" s="73" t="s">
        <v>464</v>
      </c>
      <c r="M15" s="70" t="s">
        <v>495</v>
      </c>
      <c r="N15" s="77" t="s">
        <v>45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3DA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312</v>
      </c>
      <c r="J16" s="65" t="s">
        <v>308</v>
      </c>
      <c r="K16" s="72" t="s">
        <v>463</v>
      </c>
      <c r="L16" s="73" t="s">
        <v>464</v>
      </c>
      <c r="M16" s="70" t="s">
        <v>499</v>
      </c>
      <c r="N16" s="77" t="s">
        <v>50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3DB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313</v>
      </c>
      <c r="J17" s="66" t="s">
        <v>487</v>
      </c>
      <c r="K17" s="72" t="s">
        <v>463</v>
      </c>
      <c r="L17" s="73" t="s">
        <v>464</v>
      </c>
      <c r="M17" s="70" t="s">
        <v>14</v>
      </c>
      <c r="N17" s="77" t="s">
        <v>58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3DC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306</v>
      </c>
      <c r="J18" s="66" t="s">
        <v>311</v>
      </c>
      <c r="K18" s="72" t="s">
        <v>463</v>
      </c>
      <c r="L18" s="73" t="s">
        <v>464</v>
      </c>
      <c r="M18" s="70" t="s">
        <v>497</v>
      </c>
      <c r="N18" s="77" t="s">
        <v>56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3DD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307</v>
      </c>
      <c r="J19" s="66" t="s">
        <v>314</v>
      </c>
      <c r="K19" s="72" t="s">
        <v>463</v>
      </c>
      <c r="L19" s="73" t="s">
        <v>464</v>
      </c>
      <c r="M19" s="70" t="s">
        <v>511</v>
      </c>
      <c r="N19" s="77" t="s">
        <v>57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3DE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3DF</v>
      </c>
      <c r="B21" s="79" t="s">
        <v>35</v>
      </c>
      <c r="C21" s="67" t="s">
        <v>476</v>
      </c>
      <c r="D21" s="67" t="s">
        <v>476</v>
      </c>
      <c r="E21" s="67" t="s">
        <v>476</v>
      </c>
      <c r="F21" s="67" t="s">
        <v>476</v>
      </c>
      <c r="G21" s="79"/>
      <c r="H21" s="67" t="s">
        <v>476</v>
      </c>
      <c r="I21" s="67" t="s">
        <v>476</v>
      </c>
      <c r="J21" s="67" t="s">
        <v>476</v>
      </c>
      <c r="K21" s="79" t="s">
        <v>463</v>
      </c>
      <c r="L21" s="80" t="s">
        <v>464</v>
      </c>
      <c r="M21" s="100" t="s">
        <v>493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14:J21 J5:J12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7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61</v>
      </c>
      <c r="B1" s="95"/>
      <c r="C1" s="96"/>
      <c r="D1" s="95"/>
      <c r="E1" s="97" t="s">
        <v>29</v>
      </c>
      <c r="F1" s="96"/>
      <c r="G1" s="96" t="str">
        <f>'Decoder Table'!A53</f>
        <v>0xEB</v>
      </c>
      <c r="H1" s="96"/>
      <c r="I1" s="97" t="s">
        <v>471</v>
      </c>
      <c r="J1" s="96"/>
      <c r="K1" s="96"/>
      <c r="L1" s="96" t="str">
        <f>CONCATENATE("0x",'Decoder Table'!B53)</f>
        <v>0x3E8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12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13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3E8</v>
      </c>
      <c r="B5" s="68" t="s">
        <v>462</v>
      </c>
      <c r="C5" s="65" t="s">
        <v>476</v>
      </c>
      <c r="D5" s="65" t="s">
        <v>548</v>
      </c>
      <c r="E5" s="65" t="s">
        <v>5</v>
      </c>
      <c r="F5" s="65" t="s">
        <v>476</v>
      </c>
      <c r="G5" s="68"/>
      <c r="H5" s="66" t="s">
        <v>476</v>
      </c>
      <c r="I5" s="65" t="s">
        <v>306</v>
      </c>
      <c r="J5" s="65" t="s">
        <v>476</v>
      </c>
      <c r="K5" s="68" t="s">
        <v>463</v>
      </c>
      <c r="L5" s="69" t="s">
        <v>464</v>
      </c>
      <c r="M5" s="70" t="s">
        <v>498</v>
      </c>
      <c r="N5" s="71" t="s">
        <v>43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3E9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488</v>
      </c>
      <c r="J6" s="66" t="s">
        <v>308</v>
      </c>
      <c r="K6" s="72" t="s">
        <v>463</v>
      </c>
      <c r="L6" s="73" t="s">
        <v>464</v>
      </c>
      <c r="M6" s="70" t="s">
        <v>519</v>
      </c>
      <c r="N6" s="74" t="s">
        <v>540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3EA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297</v>
      </c>
      <c r="I7" s="65" t="s">
        <v>315</v>
      </c>
      <c r="J7" s="66" t="s">
        <v>476</v>
      </c>
      <c r="K7" s="72" t="s">
        <v>463</v>
      </c>
      <c r="L7" s="73" t="s">
        <v>464</v>
      </c>
      <c r="M7" s="70" t="s">
        <v>6</v>
      </c>
      <c r="N7" s="74" t="s">
        <v>62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3EB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307</v>
      </c>
      <c r="J8" s="66" t="s">
        <v>316</v>
      </c>
      <c r="K8" s="72" t="s">
        <v>463</v>
      </c>
      <c r="L8" s="73" t="s">
        <v>464</v>
      </c>
      <c r="M8" s="70" t="s">
        <v>495</v>
      </c>
      <c r="N8" s="74" t="s">
        <v>45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3EC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312</v>
      </c>
      <c r="J9" s="65" t="s">
        <v>308</v>
      </c>
      <c r="K9" s="72" t="s">
        <v>463</v>
      </c>
      <c r="L9" s="73" t="s">
        <v>464</v>
      </c>
      <c r="M9" s="70" t="s">
        <v>499</v>
      </c>
      <c r="N9" s="74" t="s">
        <v>50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3ED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313</v>
      </c>
      <c r="J10" s="66" t="s">
        <v>487</v>
      </c>
      <c r="K10" s="72" t="s">
        <v>463</v>
      </c>
      <c r="L10" s="73" t="s">
        <v>464</v>
      </c>
      <c r="M10" s="70" t="s">
        <v>14</v>
      </c>
      <c r="N10" s="74" t="s">
        <v>58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3EE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317</v>
      </c>
      <c r="J11" s="66" t="s">
        <v>314</v>
      </c>
      <c r="K11" s="72" t="s">
        <v>463</v>
      </c>
      <c r="L11" s="73" t="s">
        <v>464</v>
      </c>
      <c r="M11" s="70" t="s">
        <v>513</v>
      </c>
      <c r="N11" s="74" t="s">
        <v>63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3EF</v>
      </c>
      <c r="B12" s="79" t="s">
        <v>35</v>
      </c>
      <c r="C12" s="67" t="s">
        <v>476</v>
      </c>
      <c r="D12" s="67" t="s">
        <v>476</v>
      </c>
      <c r="E12" s="99" t="s">
        <v>476</v>
      </c>
      <c r="F12" s="67" t="s">
        <v>476</v>
      </c>
      <c r="G12" s="79"/>
      <c r="H12" s="67" t="s">
        <v>476</v>
      </c>
      <c r="I12" s="99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8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233</v>
      </c>
      <c r="B1" s="95"/>
      <c r="C1" s="96"/>
      <c r="D1" s="95"/>
      <c r="E1" s="97" t="s">
        <v>29</v>
      </c>
      <c r="F1" s="96"/>
      <c r="G1" s="96" t="str">
        <f>'Decoder Table'!A50</f>
        <v>0xE0</v>
      </c>
      <c r="H1" s="96"/>
      <c r="I1" s="97" t="s">
        <v>471</v>
      </c>
      <c r="J1" s="96"/>
      <c r="K1" s="96"/>
      <c r="L1" s="96" t="str">
        <f>CONCATENATE("0x",'Decoder Table'!B50)</f>
        <v>0x3C0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3C0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3C1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3C2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3C3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308</v>
      </c>
      <c r="K8" s="72" t="s">
        <v>463</v>
      </c>
      <c r="L8" s="73" t="s">
        <v>464</v>
      </c>
      <c r="M8" s="70" t="s">
        <v>509</v>
      </c>
      <c r="N8" s="74" t="s">
        <v>54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3C4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3C5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3C6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3C7</v>
      </c>
      <c r="B12" s="72" t="s">
        <v>462</v>
      </c>
      <c r="C12" s="66" t="s">
        <v>476</v>
      </c>
      <c r="D12" s="66" t="s">
        <v>548</v>
      </c>
      <c r="E12" s="65" t="s">
        <v>5</v>
      </c>
      <c r="F12" s="66" t="s">
        <v>476</v>
      </c>
      <c r="G12" s="72"/>
      <c r="H12" s="66" t="s">
        <v>476</v>
      </c>
      <c r="I12" s="65" t="s">
        <v>306</v>
      </c>
      <c r="J12" s="66" t="s">
        <v>476</v>
      </c>
      <c r="K12" s="72" t="s">
        <v>463</v>
      </c>
      <c r="L12" s="73" t="s">
        <v>464</v>
      </c>
      <c r="M12" s="70" t="s">
        <v>498</v>
      </c>
      <c r="N12" s="75" t="s">
        <v>43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3C8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308</v>
      </c>
      <c r="K14" s="68" t="s">
        <v>463</v>
      </c>
      <c r="L14" s="69" t="s">
        <v>464</v>
      </c>
      <c r="M14" s="70" t="s">
        <v>499</v>
      </c>
      <c r="N14" s="76" t="s">
        <v>50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3C9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311</v>
      </c>
      <c r="K15" s="72" t="s">
        <v>478</v>
      </c>
      <c r="L15" s="73" t="s">
        <v>464</v>
      </c>
      <c r="M15" s="70" t="s">
        <v>510</v>
      </c>
      <c r="N15" s="77" t="s">
        <v>53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3CA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308</v>
      </c>
      <c r="K16" s="72" t="s">
        <v>478</v>
      </c>
      <c r="L16" s="73" t="s">
        <v>464</v>
      </c>
      <c r="M16" s="70" t="s">
        <v>519</v>
      </c>
      <c r="N16" s="77" t="s">
        <v>540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3CB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296</v>
      </c>
      <c r="I17" s="65" t="s">
        <v>315</v>
      </c>
      <c r="J17" s="66" t="s">
        <v>476</v>
      </c>
      <c r="K17" s="72" t="s">
        <v>478</v>
      </c>
      <c r="L17" s="73" t="s">
        <v>464</v>
      </c>
      <c r="M17" s="70" t="s">
        <v>15</v>
      </c>
      <c r="N17" s="77" t="s">
        <v>44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3CC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307</v>
      </c>
      <c r="J18" s="66" t="s">
        <v>316</v>
      </c>
      <c r="K18" s="72" t="s">
        <v>478</v>
      </c>
      <c r="L18" s="73" t="s">
        <v>464</v>
      </c>
      <c r="M18" s="70" t="s">
        <v>495</v>
      </c>
      <c r="N18" s="77" t="s">
        <v>45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3CD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476</v>
      </c>
      <c r="J19" s="66" t="s">
        <v>476</v>
      </c>
      <c r="K19" s="72" t="s">
        <v>478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3CE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3CF</v>
      </c>
      <c r="B21" s="79" t="s">
        <v>35</v>
      </c>
      <c r="C21" s="67" t="s">
        <v>476</v>
      </c>
      <c r="D21" s="67" t="s">
        <v>476</v>
      </c>
      <c r="E21" s="67" t="s">
        <v>476</v>
      </c>
      <c r="F21" s="67" t="s">
        <v>476</v>
      </c>
      <c r="G21" s="79"/>
      <c r="H21" s="67" t="s">
        <v>476</v>
      </c>
      <c r="I21" s="67" t="s">
        <v>476</v>
      </c>
      <c r="J21" s="67" t="s">
        <v>476</v>
      </c>
      <c r="K21" s="79" t="s">
        <v>463</v>
      </c>
      <c r="L21" s="80" t="s">
        <v>464</v>
      </c>
      <c r="M21" s="100" t="s">
        <v>493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14:J21 J5:J12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9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</v>
      </c>
      <c r="B1" s="95"/>
      <c r="C1" s="96"/>
      <c r="D1" s="95"/>
      <c r="E1" s="97" t="s">
        <v>29</v>
      </c>
      <c r="F1" s="96"/>
      <c r="G1" s="96" t="str">
        <f>'Decoder Table'!A52</f>
        <v>0xEA</v>
      </c>
      <c r="H1" s="96"/>
      <c r="I1" s="97" t="s">
        <v>471</v>
      </c>
      <c r="J1" s="96"/>
      <c r="K1" s="96"/>
      <c r="L1" s="96" t="str">
        <f>CONCATENATE("0x",'Decoder Table'!B52)</f>
        <v>0x3E0</v>
      </c>
      <c r="M1" s="96"/>
      <c r="N1" s="98" t="s">
        <v>803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12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13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3E0</v>
      </c>
      <c r="B5" s="68" t="s">
        <v>462</v>
      </c>
      <c r="C5" s="65" t="s">
        <v>476</v>
      </c>
      <c r="D5" s="65" t="s">
        <v>548</v>
      </c>
      <c r="E5" s="65" t="s">
        <v>5</v>
      </c>
      <c r="F5" s="65" t="s">
        <v>476</v>
      </c>
      <c r="G5" s="68"/>
      <c r="H5" s="66" t="s">
        <v>476</v>
      </c>
      <c r="I5" s="65" t="s">
        <v>306</v>
      </c>
      <c r="J5" s="65" t="s">
        <v>476</v>
      </c>
      <c r="K5" s="68" t="s">
        <v>463</v>
      </c>
      <c r="L5" s="69" t="s">
        <v>464</v>
      </c>
      <c r="M5" s="70" t="s">
        <v>498</v>
      </c>
      <c r="N5" s="71" t="s">
        <v>43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3E1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312</v>
      </c>
      <c r="J6" s="65" t="s">
        <v>308</v>
      </c>
      <c r="K6" s="72" t="s">
        <v>463</v>
      </c>
      <c r="L6" s="73" t="s">
        <v>464</v>
      </c>
      <c r="M6" s="70" t="s">
        <v>499</v>
      </c>
      <c r="N6" s="74" t="s">
        <v>50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3E2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313</v>
      </c>
      <c r="J7" s="66" t="s">
        <v>318</v>
      </c>
      <c r="K7" s="72" t="s">
        <v>478</v>
      </c>
      <c r="L7" s="73" t="s">
        <v>464</v>
      </c>
      <c r="M7" s="70" t="s">
        <v>512</v>
      </c>
      <c r="N7" s="74" t="s">
        <v>453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3E3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308</v>
      </c>
      <c r="K8" s="72" t="s">
        <v>478</v>
      </c>
      <c r="L8" s="73" t="s">
        <v>464</v>
      </c>
      <c r="M8" s="70" t="s">
        <v>519</v>
      </c>
      <c r="N8" s="74" t="s">
        <v>540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3E4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296</v>
      </c>
      <c r="I9" s="65" t="s">
        <v>315</v>
      </c>
      <c r="J9" s="66" t="s">
        <v>476</v>
      </c>
      <c r="K9" s="72" t="s">
        <v>478</v>
      </c>
      <c r="L9" s="73" t="s">
        <v>464</v>
      </c>
      <c r="M9" s="70" t="s">
        <v>15</v>
      </c>
      <c r="N9" s="74" t="s">
        <v>44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3E5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307</v>
      </c>
      <c r="J10" s="66" t="s">
        <v>316</v>
      </c>
      <c r="K10" s="72" t="s">
        <v>478</v>
      </c>
      <c r="L10" s="73" t="s">
        <v>464</v>
      </c>
      <c r="M10" s="70" t="s">
        <v>495</v>
      </c>
      <c r="N10" s="74" t="s">
        <v>45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3E6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3E7</v>
      </c>
      <c r="B12" s="79" t="s">
        <v>35</v>
      </c>
      <c r="C12" s="67" t="s">
        <v>476</v>
      </c>
      <c r="D12" s="67" t="s">
        <v>476</v>
      </c>
      <c r="E12" s="99" t="s">
        <v>476</v>
      </c>
      <c r="F12" s="67" t="s">
        <v>476</v>
      </c>
      <c r="G12" s="79"/>
      <c r="H12" s="67" t="s">
        <v>476</v>
      </c>
      <c r="I12" s="99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0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22</v>
      </c>
      <c r="B1" s="95"/>
      <c r="C1" s="96"/>
      <c r="D1" s="95"/>
      <c r="E1" s="97" t="s">
        <v>29</v>
      </c>
      <c r="F1" s="96"/>
      <c r="G1" s="96" t="str">
        <f>'Decoder Table'!A38</f>
        <v>0xCB</v>
      </c>
      <c r="H1" s="96"/>
      <c r="I1" s="97" t="s">
        <v>471</v>
      </c>
      <c r="J1" s="96"/>
      <c r="K1" s="96"/>
      <c r="L1" s="96" t="str">
        <f>CONCATENATE("0x",'Decoder Table'!B38)</f>
        <v>0x2C8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12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13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2C8</v>
      </c>
      <c r="B5" s="68" t="s">
        <v>462</v>
      </c>
      <c r="C5" s="65" t="s">
        <v>476</v>
      </c>
      <c r="D5" s="65" t="s">
        <v>548</v>
      </c>
      <c r="E5" s="65" t="s">
        <v>5</v>
      </c>
      <c r="F5" s="65" t="s">
        <v>476</v>
      </c>
      <c r="G5" s="68"/>
      <c r="H5" s="66" t="s">
        <v>476</v>
      </c>
      <c r="I5" s="65" t="s">
        <v>306</v>
      </c>
      <c r="J5" s="65" t="s">
        <v>476</v>
      </c>
      <c r="K5" s="68" t="s">
        <v>463</v>
      </c>
      <c r="L5" s="69" t="s">
        <v>464</v>
      </c>
      <c r="M5" s="70" t="s">
        <v>498</v>
      </c>
      <c r="N5" s="71" t="s">
        <v>43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2C9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488</v>
      </c>
      <c r="J6" s="66" t="s">
        <v>308</v>
      </c>
      <c r="K6" s="72" t="s">
        <v>463</v>
      </c>
      <c r="L6" s="73" t="s">
        <v>464</v>
      </c>
      <c r="M6" s="70" t="s">
        <v>519</v>
      </c>
      <c r="N6" s="74" t="s">
        <v>540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2CA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297</v>
      </c>
      <c r="I7" s="65" t="s">
        <v>315</v>
      </c>
      <c r="J7" s="66" t="s">
        <v>476</v>
      </c>
      <c r="K7" s="72" t="s">
        <v>463</v>
      </c>
      <c r="L7" s="73" t="s">
        <v>464</v>
      </c>
      <c r="M7" s="70" t="s">
        <v>6</v>
      </c>
      <c r="N7" s="74" t="s">
        <v>62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2CB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307</v>
      </c>
      <c r="J8" s="66" t="s">
        <v>316</v>
      </c>
      <c r="K8" s="72" t="s">
        <v>463</v>
      </c>
      <c r="L8" s="73" t="s">
        <v>464</v>
      </c>
      <c r="M8" s="70" t="s">
        <v>495</v>
      </c>
      <c r="N8" s="74" t="s">
        <v>45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2CC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312</v>
      </c>
      <c r="J9" s="65" t="s">
        <v>308</v>
      </c>
      <c r="K9" s="72" t="s">
        <v>463</v>
      </c>
      <c r="L9" s="73" t="s">
        <v>464</v>
      </c>
      <c r="M9" s="70" t="s">
        <v>499</v>
      </c>
      <c r="N9" s="74" t="s">
        <v>50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2CD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313</v>
      </c>
      <c r="J10" s="66" t="s">
        <v>487</v>
      </c>
      <c r="K10" s="72" t="s">
        <v>463</v>
      </c>
      <c r="L10" s="73" t="s">
        <v>464</v>
      </c>
      <c r="M10" s="70" t="s">
        <v>14</v>
      </c>
      <c r="N10" s="74" t="s">
        <v>59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2CE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314</v>
      </c>
      <c r="K11" s="72" t="s">
        <v>463</v>
      </c>
      <c r="L11" s="73" t="s">
        <v>464</v>
      </c>
      <c r="M11" s="70" t="s">
        <v>502</v>
      </c>
      <c r="N11" s="74" t="s">
        <v>60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2CF</v>
      </c>
      <c r="B12" s="79" t="s">
        <v>35</v>
      </c>
      <c r="C12" s="67" t="s">
        <v>476</v>
      </c>
      <c r="D12" s="67" t="s">
        <v>476</v>
      </c>
      <c r="E12" s="99" t="s">
        <v>476</v>
      </c>
      <c r="F12" s="67" t="s">
        <v>476</v>
      </c>
      <c r="G12" s="79"/>
      <c r="H12" s="67" t="s">
        <v>476</v>
      </c>
      <c r="I12" s="99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1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766</v>
      </c>
      <c r="B1" s="95"/>
      <c r="C1" s="96"/>
      <c r="D1" s="95"/>
      <c r="E1" s="97" t="s">
        <v>29</v>
      </c>
      <c r="F1" s="96"/>
      <c r="G1" s="96" t="str">
        <f>'Decoder Table'!A7</f>
        <v>0x9A</v>
      </c>
      <c r="H1" s="96"/>
      <c r="I1" s="97" t="s">
        <v>471</v>
      </c>
      <c r="J1" s="96"/>
      <c r="K1" s="96"/>
      <c r="L1" s="96" t="str">
        <f>CONCATENATE("0x",'Decoder Table'!B7)</f>
        <v>0x028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028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029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02A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02B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02C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02D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02E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02F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030</v>
      </c>
      <c r="B14" s="313" t="s">
        <v>462</v>
      </c>
      <c r="C14" s="310" t="s">
        <v>476</v>
      </c>
      <c r="D14" s="310" t="s">
        <v>476</v>
      </c>
      <c r="E14" s="310" t="s">
        <v>476</v>
      </c>
      <c r="F14" s="310" t="s">
        <v>476</v>
      </c>
      <c r="G14" s="313"/>
      <c r="H14" s="311" t="s">
        <v>476</v>
      </c>
      <c r="I14" s="310" t="s">
        <v>306</v>
      </c>
      <c r="J14" s="310" t="s">
        <v>314</v>
      </c>
      <c r="K14" s="313" t="s">
        <v>463</v>
      </c>
      <c r="L14" s="314" t="s">
        <v>464</v>
      </c>
      <c r="M14" s="315" t="s">
        <v>494</v>
      </c>
      <c r="N14" s="318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031</v>
      </c>
      <c r="B15" s="313" t="s">
        <v>462</v>
      </c>
      <c r="C15" s="311" t="s">
        <v>476</v>
      </c>
      <c r="D15" s="311" t="s">
        <v>476</v>
      </c>
      <c r="E15" s="310" t="s">
        <v>476</v>
      </c>
      <c r="F15" s="311" t="s">
        <v>476</v>
      </c>
      <c r="G15" s="316"/>
      <c r="H15" s="311" t="s">
        <v>476</v>
      </c>
      <c r="I15" s="310" t="s">
        <v>488</v>
      </c>
      <c r="J15" s="311" t="s">
        <v>308</v>
      </c>
      <c r="K15" s="316" t="s">
        <v>463</v>
      </c>
      <c r="L15" s="317" t="s">
        <v>464</v>
      </c>
      <c r="M15" s="315" t="s">
        <v>519</v>
      </c>
      <c r="N15" s="319" t="s">
        <v>520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032</v>
      </c>
      <c r="B16" s="313" t="s">
        <v>462</v>
      </c>
      <c r="C16" s="311" t="s">
        <v>476</v>
      </c>
      <c r="D16" s="311" t="s">
        <v>476</v>
      </c>
      <c r="E16" s="310" t="s">
        <v>476</v>
      </c>
      <c r="F16" s="311" t="s">
        <v>479</v>
      </c>
      <c r="G16" s="316"/>
      <c r="H16" s="311" t="s">
        <v>305</v>
      </c>
      <c r="I16" s="310" t="s">
        <v>315</v>
      </c>
      <c r="J16" s="311" t="s">
        <v>476</v>
      </c>
      <c r="K16" s="316" t="s">
        <v>463</v>
      </c>
      <c r="L16" s="317" t="s">
        <v>464</v>
      </c>
      <c r="M16" s="315" t="s">
        <v>105</v>
      </c>
      <c r="N16" s="319" t="s">
        <v>104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033</v>
      </c>
      <c r="B17" s="313" t="s">
        <v>462</v>
      </c>
      <c r="C17" s="311" t="s">
        <v>476</v>
      </c>
      <c r="D17" s="311" t="s">
        <v>476</v>
      </c>
      <c r="E17" s="310" t="s">
        <v>476</v>
      </c>
      <c r="F17" s="311" t="s">
        <v>476</v>
      </c>
      <c r="G17" s="316"/>
      <c r="H17" s="311" t="s">
        <v>476</v>
      </c>
      <c r="I17" s="310" t="s">
        <v>307</v>
      </c>
      <c r="J17" s="311" t="s">
        <v>316</v>
      </c>
      <c r="K17" s="316" t="s">
        <v>463</v>
      </c>
      <c r="L17" s="317" t="s">
        <v>464</v>
      </c>
      <c r="M17" s="315" t="s">
        <v>495</v>
      </c>
      <c r="N17" s="319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034</v>
      </c>
      <c r="B18" s="313" t="s">
        <v>462</v>
      </c>
      <c r="C18" s="311" t="s">
        <v>476</v>
      </c>
      <c r="D18" s="311" t="s">
        <v>476</v>
      </c>
      <c r="E18" s="310" t="s">
        <v>476</v>
      </c>
      <c r="F18" s="311" t="s">
        <v>476</v>
      </c>
      <c r="G18" s="316"/>
      <c r="H18" s="311" t="s">
        <v>476</v>
      </c>
      <c r="I18" s="310" t="s">
        <v>476</v>
      </c>
      <c r="J18" s="311" t="s">
        <v>476</v>
      </c>
      <c r="K18" s="316" t="s">
        <v>463</v>
      </c>
      <c r="L18" s="317" t="s">
        <v>464</v>
      </c>
      <c r="M18" s="315" t="s">
        <v>7</v>
      </c>
      <c r="N18" s="319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035</v>
      </c>
      <c r="B19" s="313" t="s">
        <v>462</v>
      </c>
      <c r="C19" s="311" t="s">
        <v>476</v>
      </c>
      <c r="D19" s="311" t="s">
        <v>476</v>
      </c>
      <c r="E19" s="310" t="s">
        <v>476</v>
      </c>
      <c r="F19" s="311" t="s">
        <v>476</v>
      </c>
      <c r="G19" s="316"/>
      <c r="H19" s="311" t="s">
        <v>476</v>
      </c>
      <c r="I19" s="310" t="s">
        <v>476</v>
      </c>
      <c r="J19" s="311" t="s">
        <v>476</v>
      </c>
      <c r="K19" s="316" t="s">
        <v>463</v>
      </c>
      <c r="L19" s="317" t="s">
        <v>464</v>
      </c>
      <c r="M19" s="315" t="s">
        <v>7</v>
      </c>
      <c r="N19" s="319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036</v>
      </c>
      <c r="B20" s="313" t="s">
        <v>462</v>
      </c>
      <c r="C20" s="311" t="s">
        <v>476</v>
      </c>
      <c r="D20" s="311" t="s">
        <v>476</v>
      </c>
      <c r="E20" s="310" t="s">
        <v>476</v>
      </c>
      <c r="F20" s="311" t="s">
        <v>476</v>
      </c>
      <c r="G20" s="316"/>
      <c r="H20" s="311" t="s">
        <v>476</v>
      </c>
      <c r="I20" s="310" t="s">
        <v>476</v>
      </c>
      <c r="J20" s="311" t="s">
        <v>476</v>
      </c>
      <c r="K20" s="316" t="s">
        <v>463</v>
      </c>
      <c r="L20" s="317" t="s">
        <v>464</v>
      </c>
      <c r="M20" s="315" t="s">
        <v>7</v>
      </c>
      <c r="N20" s="319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037</v>
      </c>
      <c r="B21" s="320" t="s">
        <v>35</v>
      </c>
      <c r="C21" s="312" t="s">
        <v>476</v>
      </c>
      <c r="D21" s="312" t="s">
        <v>476</v>
      </c>
      <c r="E21" s="312" t="s">
        <v>476</v>
      </c>
      <c r="F21" s="312" t="s">
        <v>476</v>
      </c>
      <c r="G21" s="320"/>
      <c r="H21" s="312" t="s">
        <v>476</v>
      </c>
      <c r="I21" s="312" t="s">
        <v>476</v>
      </c>
      <c r="J21" s="312" t="s">
        <v>476</v>
      </c>
      <c r="K21" s="320" t="s">
        <v>463</v>
      </c>
      <c r="L21" s="321" t="s">
        <v>464</v>
      </c>
      <c r="M21" s="323" t="s">
        <v>493</v>
      </c>
      <c r="N21" s="322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2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767</v>
      </c>
      <c r="B1" s="95"/>
      <c r="C1" s="96"/>
      <c r="D1" s="95"/>
      <c r="E1" s="97" t="s">
        <v>29</v>
      </c>
      <c r="F1" s="96"/>
      <c r="G1" s="96" t="str">
        <f>'Decoder Table'!A8</f>
        <v>0x9B</v>
      </c>
      <c r="H1" s="96"/>
      <c r="I1" s="97" t="s">
        <v>471</v>
      </c>
      <c r="J1" s="96"/>
      <c r="K1" s="96"/>
      <c r="L1" s="96" t="str">
        <f>CONCATENATE("0x",'Decoder Table'!B8)</f>
        <v>0x038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038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039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03A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03B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03C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03D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03E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03F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040</v>
      </c>
      <c r="B14" s="327" t="s">
        <v>462</v>
      </c>
      <c r="C14" s="324" t="s">
        <v>476</v>
      </c>
      <c r="D14" s="324" t="s">
        <v>476</v>
      </c>
      <c r="E14" s="324" t="s">
        <v>476</v>
      </c>
      <c r="F14" s="324" t="s">
        <v>476</v>
      </c>
      <c r="G14" s="327"/>
      <c r="H14" s="325" t="s">
        <v>476</v>
      </c>
      <c r="I14" s="324" t="s">
        <v>306</v>
      </c>
      <c r="J14" s="324" t="s">
        <v>314</v>
      </c>
      <c r="K14" s="327" t="s">
        <v>463</v>
      </c>
      <c r="L14" s="328" t="s">
        <v>464</v>
      </c>
      <c r="M14" s="329" t="s">
        <v>494</v>
      </c>
      <c r="N14" s="332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041</v>
      </c>
      <c r="B15" s="327" t="s">
        <v>462</v>
      </c>
      <c r="C15" s="325" t="s">
        <v>476</v>
      </c>
      <c r="D15" s="325" t="s">
        <v>476</v>
      </c>
      <c r="E15" s="324" t="s">
        <v>476</v>
      </c>
      <c r="F15" s="325" t="s">
        <v>476</v>
      </c>
      <c r="G15" s="330"/>
      <c r="H15" s="325" t="s">
        <v>476</v>
      </c>
      <c r="I15" s="324" t="s">
        <v>488</v>
      </c>
      <c r="J15" s="325" t="s">
        <v>308</v>
      </c>
      <c r="K15" s="330" t="s">
        <v>463</v>
      </c>
      <c r="L15" s="331" t="s">
        <v>464</v>
      </c>
      <c r="M15" s="329" t="s">
        <v>519</v>
      </c>
      <c r="N15" s="333" t="s">
        <v>520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042</v>
      </c>
      <c r="B16" s="327" t="s">
        <v>462</v>
      </c>
      <c r="C16" s="325" t="s">
        <v>476</v>
      </c>
      <c r="D16" s="325" t="s">
        <v>476</v>
      </c>
      <c r="E16" s="324" t="s">
        <v>476</v>
      </c>
      <c r="F16" s="325" t="s">
        <v>479</v>
      </c>
      <c r="G16" s="330"/>
      <c r="H16" s="325" t="s">
        <v>304</v>
      </c>
      <c r="I16" s="324" t="s">
        <v>315</v>
      </c>
      <c r="J16" s="325" t="s">
        <v>476</v>
      </c>
      <c r="K16" s="330" t="s">
        <v>463</v>
      </c>
      <c r="L16" s="331" t="s">
        <v>464</v>
      </c>
      <c r="M16" s="329" t="s">
        <v>106</v>
      </c>
      <c r="N16" s="333" t="s">
        <v>107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043</v>
      </c>
      <c r="B17" s="327" t="s">
        <v>462</v>
      </c>
      <c r="C17" s="325" t="s">
        <v>476</v>
      </c>
      <c r="D17" s="325" t="s">
        <v>476</v>
      </c>
      <c r="E17" s="324" t="s">
        <v>476</v>
      </c>
      <c r="F17" s="325" t="s">
        <v>476</v>
      </c>
      <c r="G17" s="330"/>
      <c r="H17" s="325" t="s">
        <v>476</v>
      </c>
      <c r="I17" s="324" t="s">
        <v>307</v>
      </c>
      <c r="J17" s="325" t="s">
        <v>316</v>
      </c>
      <c r="K17" s="330" t="s">
        <v>463</v>
      </c>
      <c r="L17" s="331" t="s">
        <v>464</v>
      </c>
      <c r="M17" s="329" t="s">
        <v>495</v>
      </c>
      <c r="N17" s="333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044</v>
      </c>
      <c r="B18" s="327" t="s">
        <v>462</v>
      </c>
      <c r="C18" s="325" t="s">
        <v>476</v>
      </c>
      <c r="D18" s="325" t="s">
        <v>476</v>
      </c>
      <c r="E18" s="324" t="s">
        <v>476</v>
      </c>
      <c r="F18" s="325" t="s">
        <v>476</v>
      </c>
      <c r="G18" s="330"/>
      <c r="H18" s="325" t="s">
        <v>476</v>
      </c>
      <c r="I18" s="324" t="s">
        <v>476</v>
      </c>
      <c r="J18" s="325" t="s">
        <v>476</v>
      </c>
      <c r="K18" s="330" t="s">
        <v>463</v>
      </c>
      <c r="L18" s="331" t="s">
        <v>464</v>
      </c>
      <c r="M18" s="329" t="s">
        <v>7</v>
      </c>
      <c r="N18" s="333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045</v>
      </c>
      <c r="B19" s="327" t="s">
        <v>462</v>
      </c>
      <c r="C19" s="325" t="s">
        <v>476</v>
      </c>
      <c r="D19" s="325" t="s">
        <v>476</v>
      </c>
      <c r="E19" s="324" t="s">
        <v>476</v>
      </c>
      <c r="F19" s="325" t="s">
        <v>476</v>
      </c>
      <c r="G19" s="330"/>
      <c r="H19" s="325" t="s">
        <v>476</v>
      </c>
      <c r="I19" s="324" t="s">
        <v>476</v>
      </c>
      <c r="J19" s="325" t="s">
        <v>476</v>
      </c>
      <c r="K19" s="330" t="s">
        <v>463</v>
      </c>
      <c r="L19" s="331" t="s">
        <v>464</v>
      </c>
      <c r="M19" s="329" t="s">
        <v>7</v>
      </c>
      <c r="N19" s="333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046</v>
      </c>
      <c r="B20" s="327" t="s">
        <v>462</v>
      </c>
      <c r="C20" s="325" t="s">
        <v>476</v>
      </c>
      <c r="D20" s="325" t="s">
        <v>476</v>
      </c>
      <c r="E20" s="324" t="s">
        <v>476</v>
      </c>
      <c r="F20" s="325" t="s">
        <v>476</v>
      </c>
      <c r="G20" s="330"/>
      <c r="H20" s="325" t="s">
        <v>476</v>
      </c>
      <c r="I20" s="324" t="s">
        <v>476</v>
      </c>
      <c r="J20" s="325" t="s">
        <v>476</v>
      </c>
      <c r="K20" s="330" t="s">
        <v>463</v>
      </c>
      <c r="L20" s="331" t="s">
        <v>464</v>
      </c>
      <c r="M20" s="329" t="s">
        <v>7</v>
      </c>
      <c r="N20" s="333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047</v>
      </c>
      <c r="B21" s="334" t="s">
        <v>35</v>
      </c>
      <c r="C21" s="326" t="s">
        <v>476</v>
      </c>
      <c r="D21" s="326" t="s">
        <v>476</v>
      </c>
      <c r="E21" s="326" t="s">
        <v>476</v>
      </c>
      <c r="F21" s="326" t="s">
        <v>476</v>
      </c>
      <c r="G21" s="334"/>
      <c r="H21" s="326" t="s">
        <v>476</v>
      </c>
      <c r="I21" s="326" t="s">
        <v>476</v>
      </c>
      <c r="J21" s="326" t="s">
        <v>476</v>
      </c>
      <c r="K21" s="334" t="s">
        <v>463</v>
      </c>
      <c r="L21" s="335" t="s">
        <v>464</v>
      </c>
      <c r="M21" s="337" t="s">
        <v>493</v>
      </c>
      <c r="N21" s="336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3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768</v>
      </c>
      <c r="B1" s="95"/>
      <c r="C1" s="96"/>
      <c r="D1" s="95"/>
      <c r="E1" s="97" t="s">
        <v>29</v>
      </c>
      <c r="F1" s="96"/>
      <c r="G1" s="96" t="str">
        <f>'Decoder Table'!A9</f>
        <v>0x9C</v>
      </c>
      <c r="H1" s="96"/>
      <c r="I1" s="97" t="s">
        <v>471</v>
      </c>
      <c r="J1" s="96"/>
      <c r="K1" s="96"/>
      <c r="L1" s="96" t="str">
        <f>CONCATENATE("0x",'Decoder Table'!B9)</f>
        <v>0x048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048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049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04A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04B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04C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04D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04E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04F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050</v>
      </c>
      <c r="B14" s="341" t="s">
        <v>462</v>
      </c>
      <c r="C14" s="338" t="s">
        <v>476</v>
      </c>
      <c r="D14" s="338" t="s">
        <v>476</v>
      </c>
      <c r="E14" s="338" t="s">
        <v>476</v>
      </c>
      <c r="F14" s="338" t="s">
        <v>476</v>
      </c>
      <c r="G14" s="341"/>
      <c r="H14" s="339" t="s">
        <v>476</v>
      </c>
      <c r="I14" s="338" t="s">
        <v>306</v>
      </c>
      <c r="J14" s="338" t="s">
        <v>314</v>
      </c>
      <c r="K14" s="341" t="s">
        <v>463</v>
      </c>
      <c r="L14" s="342" t="s">
        <v>464</v>
      </c>
      <c r="M14" s="343" t="s">
        <v>494</v>
      </c>
      <c r="N14" s="34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051</v>
      </c>
      <c r="B15" s="341" t="s">
        <v>462</v>
      </c>
      <c r="C15" s="339" t="s">
        <v>476</v>
      </c>
      <c r="D15" s="339" t="s">
        <v>476</v>
      </c>
      <c r="E15" s="338" t="s">
        <v>476</v>
      </c>
      <c r="F15" s="339" t="s">
        <v>476</v>
      </c>
      <c r="G15" s="344"/>
      <c r="H15" s="339" t="s">
        <v>476</v>
      </c>
      <c r="I15" s="338" t="s">
        <v>488</v>
      </c>
      <c r="J15" s="339" t="s">
        <v>308</v>
      </c>
      <c r="K15" s="344" t="s">
        <v>463</v>
      </c>
      <c r="L15" s="345" t="s">
        <v>464</v>
      </c>
      <c r="M15" s="343" t="s">
        <v>519</v>
      </c>
      <c r="N15" s="347" t="s">
        <v>520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052</v>
      </c>
      <c r="B16" s="341" t="s">
        <v>462</v>
      </c>
      <c r="C16" s="339" t="s">
        <v>476</v>
      </c>
      <c r="D16" s="339" t="s">
        <v>476</v>
      </c>
      <c r="E16" s="338" t="s">
        <v>476</v>
      </c>
      <c r="F16" s="339" t="s">
        <v>479</v>
      </c>
      <c r="G16" s="344"/>
      <c r="H16" s="339" t="s">
        <v>303</v>
      </c>
      <c r="I16" s="338" t="s">
        <v>315</v>
      </c>
      <c r="J16" s="339" t="s">
        <v>476</v>
      </c>
      <c r="K16" s="344" t="s">
        <v>463</v>
      </c>
      <c r="L16" s="345" t="s">
        <v>464</v>
      </c>
      <c r="M16" s="343" t="s">
        <v>109</v>
      </c>
      <c r="N16" s="347" t="s">
        <v>108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053</v>
      </c>
      <c r="B17" s="341" t="s">
        <v>462</v>
      </c>
      <c r="C17" s="339" t="s">
        <v>476</v>
      </c>
      <c r="D17" s="339" t="s">
        <v>476</v>
      </c>
      <c r="E17" s="338" t="s">
        <v>476</v>
      </c>
      <c r="F17" s="339" t="s">
        <v>476</v>
      </c>
      <c r="G17" s="344"/>
      <c r="H17" s="339" t="s">
        <v>476</v>
      </c>
      <c r="I17" s="338" t="s">
        <v>307</v>
      </c>
      <c r="J17" s="339" t="s">
        <v>316</v>
      </c>
      <c r="K17" s="344" t="s">
        <v>463</v>
      </c>
      <c r="L17" s="345" t="s">
        <v>464</v>
      </c>
      <c r="M17" s="343" t="s">
        <v>495</v>
      </c>
      <c r="N17" s="34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054</v>
      </c>
      <c r="B18" s="341" t="s">
        <v>462</v>
      </c>
      <c r="C18" s="339" t="s">
        <v>476</v>
      </c>
      <c r="D18" s="339" t="s">
        <v>476</v>
      </c>
      <c r="E18" s="338" t="s">
        <v>476</v>
      </c>
      <c r="F18" s="339" t="s">
        <v>476</v>
      </c>
      <c r="G18" s="344"/>
      <c r="H18" s="339" t="s">
        <v>476</v>
      </c>
      <c r="I18" s="338" t="s">
        <v>476</v>
      </c>
      <c r="J18" s="339" t="s">
        <v>476</v>
      </c>
      <c r="K18" s="344" t="s">
        <v>463</v>
      </c>
      <c r="L18" s="345" t="s">
        <v>464</v>
      </c>
      <c r="M18" s="343" t="s">
        <v>7</v>
      </c>
      <c r="N18" s="34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055</v>
      </c>
      <c r="B19" s="341" t="s">
        <v>462</v>
      </c>
      <c r="C19" s="339" t="s">
        <v>476</v>
      </c>
      <c r="D19" s="339" t="s">
        <v>476</v>
      </c>
      <c r="E19" s="338" t="s">
        <v>476</v>
      </c>
      <c r="F19" s="339" t="s">
        <v>476</v>
      </c>
      <c r="G19" s="344"/>
      <c r="H19" s="339" t="s">
        <v>476</v>
      </c>
      <c r="I19" s="338" t="s">
        <v>476</v>
      </c>
      <c r="J19" s="339" t="s">
        <v>476</v>
      </c>
      <c r="K19" s="344" t="s">
        <v>463</v>
      </c>
      <c r="L19" s="345" t="s">
        <v>464</v>
      </c>
      <c r="M19" s="343" t="s">
        <v>7</v>
      </c>
      <c r="N19" s="34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056</v>
      </c>
      <c r="B20" s="341" t="s">
        <v>462</v>
      </c>
      <c r="C20" s="339" t="s">
        <v>476</v>
      </c>
      <c r="D20" s="339" t="s">
        <v>476</v>
      </c>
      <c r="E20" s="338" t="s">
        <v>476</v>
      </c>
      <c r="F20" s="339" t="s">
        <v>476</v>
      </c>
      <c r="G20" s="344"/>
      <c r="H20" s="339" t="s">
        <v>476</v>
      </c>
      <c r="I20" s="338" t="s">
        <v>476</v>
      </c>
      <c r="J20" s="339" t="s">
        <v>476</v>
      </c>
      <c r="K20" s="344" t="s">
        <v>463</v>
      </c>
      <c r="L20" s="345" t="s">
        <v>464</v>
      </c>
      <c r="M20" s="343" t="s">
        <v>7</v>
      </c>
      <c r="N20" s="34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057</v>
      </c>
      <c r="B21" s="348" t="s">
        <v>35</v>
      </c>
      <c r="C21" s="340" t="s">
        <v>476</v>
      </c>
      <c r="D21" s="340" t="s">
        <v>476</v>
      </c>
      <c r="E21" s="340" t="s">
        <v>476</v>
      </c>
      <c r="F21" s="340" t="s">
        <v>476</v>
      </c>
      <c r="G21" s="348"/>
      <c r="H21" s="340" t="s">
        <v>476</v>
      </c>
      <c r="I21" s="340" t="s">
        <v>476</v>
      </c>
      <c r="J21" s="340" t="s">
        <v>476</v>
      </c>
      <c r="K21" s="348" t="s">
        <v>463</v>
      </c>
      <c r="L21" s="349" t="s">
        <v>464</v>
      </c>
      <c r="M21" s="351" t="s">
        <v>493</v>
      </c>
      <c r="N21" s="350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4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769</v>
      </c>
      <c r="B1" s="95"/>
      <c r="C1" s="96"/>
      <c r="D1" s="95"/>
      <c r="E1" s="97" t="s">
        <v>29</v>
      </c>
      <c r="F1" s="96"/>
      <c r="G1" s="96" t="str">
        <f>'Decoder Table'!A10</f>
        <v>0x9D</v>
      </c>
      <c r="H1" s="96"/>
      <c r="I1" s="97" t="s">
        <v>471</v>
      </c>
      <c r="J1" s="96"/>
      <c r="K1" s="96"/>
      <c r="L1" s="96" t="str">
        <f>CONCATENATE("0x",'Decoder Table'!B10)</f>
        <v>0x058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058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059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05A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488</v>
      </c>
      <c r="J7" s="66" t="s">
        <v>309</v>
      </c>
      <c r="K7" s="72" t="s">
        <v>463</v>
      </c>
      <c r="L7" s="73" t="s">
        <v>464</v>
      </c>
      <c r="M7" s="70" t="s">
        <v>517</v>
      </c>
      <c r="N7" s="74" t="s">
        <v>518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05B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297</v>
      </c>
      <c r="I8" s="65" t="s">
        <v>315</v>
      </c>
      <c r="J8" s="66" t="s">
        <v>476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05C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618</v>
      </c>
      <c r="J9" s="66" t="s">
        <v>316</v>
      </c>
      <c r="K9" s="72" t="s">
        <v>463</v>
      </c>
      <c r="L9" s="73" t="s">
        <v>464</v>
      </c>
      <c r="M9" s="70" t="s">
        <v>492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05D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05E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05F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060</v>
      </c>
      <c r="B14" s="355" t="s">
        <v>462</v>
      </c>
      <c r="C14" s="352" t="s">
        <v>476</v>
      </c>
      <c r="D14" s="352" t="s">
        <v>476</v>
      </c>
      <c r="E14" s="352" t="s">
        <v>476</v>
      </c>
      <c r="F14" s="352" t="s">
        <v>476</v>
      </c>
      <c r="G14" s="355"/>
      <c r="H14" s="353" t="s">
        <v>476</v>
      </c>
      <c r="I14" s="352" t="s">
        <v>306</v>
      </c>
      <c r="J14" s="352" t="s">
        <v>314</v>
      </c>
      <c r="K14" s="355" t="s">
        <v>463</v>
      </c>
      <c r="L14" s="356" t="s">
        <v>464</v>
      </c>
      <c r="M14" s="357" t="s">
        <v>494</v>
      </c>
      <c r="N14" s="360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061</v>
      </c>
      <c r="B15" s="355" t="s">
        <v>462</v>
      </c>
      <c r="C15" s="353" t="s">
        <v>476</v>
      </c>
      <c r="D15" s="353" t="s">
        <v>476</v>
      </c>
      <c r="E15" s="352" t="s">
        <v>476</v>
      </c>
      <c r="F15" s="353" t="s">
        <v>476</v>
      </c>
      <c r="G15" s="358"/>
      <c r="H15" s="353" t="s">
        <v>476</v>
      </c>
      <c r="I15" s="352" t="s">
        <v>488</v>
      </c>
      <c r="J15" s="353" t="s">
        <v>308</v>
      </c>
      <c r="K15" s="358" t="s">
        <v>463</v>
      </c>
      <c r="L15" s="359" t="s">
        <v>464</v>
      </c>
      <c r="M15" s="357" t="s">
        <v>519</v>
      </c>
      <c r="N15" s="361" t="s">
        <v>520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062</v>
      </c>
      <c r="B16" s="355" t="s">
        <v>462</v>
      </c>
      <c r="C16" s="353" t="s">
        <v>476</v>
      </c>
      <c r="D16" s="353" t="s">
        <v>476</v>
      </c>
      <c r="E16" s="352" t="s">
        <v>476</v>
      </c>
      <c r="F16" s="353" t="s">
        <v>479</v>
      </c>
      <c r="G16" s="358"/>
      <c r="H16" s="353" t="s">
        <v>302</v>
      </c>
      <c r="I16" s="352" t="s">
        <v>315</v>
      </c>
      <c r="J16" s="353" t="s">
        <v>476</v>
      </c>
      <c r="K16" s="358" t="s">
        <v>463</v>
      </c>
      <c r="L16" s="359" t="s">
        <v>464</v>
      </c>
      <c r="M16" s="357" t="s">
        <v>111</v>
      </c>
      <c r="N16" s="361" t="s">
        <v>110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063</v>
      </c>
      <c r="B17" s="355" t="s">
        <v>462</v>
      </c>
      <c r="C17" s="353" t="s">
        <v>476</v>
      </c>
      <c r="D17" s="353" t="s">
        <v>476</v>
      </c>
      <c r="E17" s="352" t="s">
        <v>476</v>
      </c>
      <c r="F17" s="353" t="s">
        <v>476</v>
      </c>
      <c r="G17" s="358"/>
      <c r="H17" s="353" t="s">
        <v>476</v>
      </c>
      <c r="I17" s="352" t="s">
        <v>307</v>
      </c>
      <c r="J17" s="353" t="s">
        <v>316</v>
      </c>
      <c r="K17" s="358" t="s">
        <v>463</v>
      </c>
      <c r="L17" s="359" t="s">
        <v>464</v>
      </c>
      <c r="M17" s="357" t="s">
        <v>495</v>
      </c>
      <c r="N17" s="361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064</v>
      </c>
      <c r="B18" s="355" t="s">
        <v>462</v>
      </c>
      <c r="C18" s="353" t="s">
        <v>476</v>
      </c>
      <c r="D18" s="353" t="s">
        <v>476</v>
      </c>
      <c r="E18" s="352" t="s">
        <v>476</v>
      </c>
      <c r="F18" s="353" t="s">
        <v>476</v>
      </c>
      <c r="G18" s="358"/>
      <c r="H18" s="353" t="s">
        <v>476</v>
      </c>
      <c r="I18" s="352" t="s">
        <v>476</v>
      </c>
      <c r="J18" s="353" t="s">
        <v>476</v>
      </c>
      <c r="K18" s="358" t="s">
        <v>463</v>
      </c>
      <c r="L18" s="359" t="s">
        <v>464</v>
      </c>
      <c r="M18" s="357" t="s">
        <v>7</v>
      </c>
      <c r="N18" s="361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065</v>
      </c>
      <c r="B19" s="355" t="s">
        <v>462</v>
      </c>
      <c r="C19" s="353" t="s">
        <v>476</v>
      </c>
      <c r="D19" s="353" t="s">
        <v>476</v>
      </c>
      <c r="E19" s="352" t="s">
        <v>476</v>
      </c>
      <c r="F19" s="353" t="s">
        <v>476</v>
      </c>
      <c r="G19" s="358"/>
      <c r="H19" s="353" t="s">
        <v>476</v>
      </c>
      <c r="I19" s="352" t="s">
        <v>476</v>
      </c>
      <c r="J19" s="353" t="s">
        <v>476</v>
      </c>
      <c r="K19" s="358" t="s">
        <v>463</v>
      </c>
      <c r="L19" s="359" t="s">
        <v>464</v>
      </c>
      <c r="M19" s="357" t="s">
        <v>7</v>
      </c>
      <c r="N19" s="361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066</v>
      </c>
      <c r="B20" s="355" t="s">
        <v>462</v>
      </c>
      <c r="C20" s="353" t="s">
        <v>476</v>
      </c>
      <c r="D20" s="353" t="s">
        <v>476</v>
      </c>
      <c r="E20" s="352" t="s">
        <v>476</v>
      </c>
      <c r="F20" s="353" t="s">
        <v>476</v>
      </c>
      <c r="G20" s="358"/>
      <c r="H20" s="353" t="s">
        <v>476</v>
      </c>
      <c r="I20" s="352" t="s">
        <v>476</v>
      </c>
      <c r="J20" s="353" t="s">
        <v>476</v>
      </c>
      <c r="K20" s="358" t="s">
        <v>463</v>
      </c>
      <c r="L20" s="359" t="s">
        <v>464</v>
      </c>
      <c r="M20" s="357" t="s">
        <v>7</v>
      </c>
      <c r="N20" s="361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067</v>
      </c>
      <c r="B21" s="362" t="s">
        <v>35</v>
      </c>
      <c r="C21" s="354" t="s">
        <v>476</v>
      </c>
      <c r="D21" s="354" t="s">
        <v>476</v>
      </c>
      <c r="E21" s="354" t="s">
        <v>476</v>
      </c>
      <c r="F21" s="354" t="s">
        <v>476</v>
      </c>
      <c r="G21" s="362"/>
      <c r="H21" s="354" t="s">
        <v>476</v>
      </c>
      <c r="I21" s="354" t="s">
        <v>476</v>
      </c>
      <c r="J21" s="354" t="s">
        <v>476</v>
      </c>
      <c r="K21" s="362" t="s">
        <v>463</v>
      </c>
      <c r="L21" s="363" t="s">
        <v>464</v>
      </c>
      <c r="M21" s="365" t="s">
        <v>493</v>
      </c>
      <c r="N21" s="364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5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66</v>
      </c>
      <c r="B1" s="95"/>
      <c r="C1" s="96"/>
      <c r="D1" s="95"/>
      <c r="E1" s="97" t="s">
        <v>29</v>
      </c>
      <c r="F1" s="96"/>
      <c r="G1" s="96" t="str">
        <f>'Decoder Table'!A56</f>
        <v>0xFC</v>
      </c>
      <c r="H1" s="96"/>
      <c r="I1" s="97" t="s">
        <v>471</v>
      </c>
      <c r="J1" s="96"/>
      <c r="K1" s="96"/>
      <c r="L1" s="96" t="str">
        <f>CONCATENATE("0x",'Decoder Table'!B56)</f>
        <v>0x410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12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13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410</v>
      </c>
      <c r="B5" s="68" t="s">
        <v>462</v>
      </c>
      <c r="C5" s="65" t="s">
        <v>476</v>
      </c>
      <c r="D5" s="65" t="s">
        <v>548</v>
      </c>
      <c r="E5" s="65" t="s">
        <v>21</v>
      </c>
      <c r="F5" s="65" t="s">
        <v>476</v>
      </c>
      <c r="G5" s="68"/>
      <c r="H5" s="66" t="s">
        <v>476</v>
      </c>
      <c r="I5" s="65" t="s">
        <v>488</v>
      </c>
      <c r="J5" s="65" t="s">
        <v>476</v>
      </c>
      <c r="K5" s="68" t="s">
        <v>463</v>
      </c>
      <c r="L5" s="69" t="s">
        <v>464</v>
      </c>
      <c r="M5" s="70" t="s">
        <v>543</v>
      </c>
      <c r="N5" s="71" t="s">
        <v>544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411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489</v>
      </c>
      <c r="J6" s="66" t="s">
        <v>318</v>
      </c>
      <c r="K6" s="72" t="s">
        <v>463</v>
      </c>
      <c r="L6" s="73" t="s">
        <v>464</v>
      </c>
      <c r="M6" s="70" t="s">
        <v>545</v>
      </c>
      <c r="N6" s="74" t="s">
        <v>546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412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298</v>
      </c>
      <c r="I7" s="65" t="s">
        <v>315</v>
      </c>
      <c r="J7" s="66" t="s">
        <v>476</v>
      </c>
      <c r="K7" s="72" t="s">
        <v>463</v>
      </c>
      <c r="L7" s="73" t="s">
        <v>464</v>
      </c>
      <c r="M7" s="70" t="s">
        <v>67</v>
      </c>
      <c r="N7" s="74" t="s">
        <v>64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413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316</v>
      </c>
      <c r="K8" s="72" t="s">
        <v>463</v>
      </c>
      <c r="L8" s="73" t="s">
        <v>464</v>
      </c>
      <c r="M8" s="70" t="s">
        <v>515</v>
      </c>
      <c r="N8" s="74" t="s">
        <v>454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414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317</v>
      </c>
      <c r="J9" s="66" t="s">
        <v>311</v>
      </c>
      <c r="K9" s="72" t="s">
        <v>463</v>
      </c>
      <c r="L9" s="73" t="s">
        <v>464</v>
      </c>
      <c r="M9" s="70" t="s">
        <v>516</v>
      </c>
      <c r="N9" s="74" t="s">
        <v>65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415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476</v>
      </c>
      <c r="J10" s="66" t="s">
        <v>476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416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417</v>
      </c>
      <c r="B12" s="79" t="s">
        <v>35</v>
      </c>
      <c r="C12" s="67" t="s">
        <v>476</v>
      </c>
      <c r="D12" s="67" t="s">
        <v>476</v>
      </c>
      <c r="E12" s="99" t="s">
        <v>476</v>
      </c>
      <c r="F12" s="67" t="s">
        <v>476</v>
      </c>
      <c r="G12" s="79"/>
      <c r="H12" s="67" t="s">
        <v>476</v>
      </c>
      <c r="I12" s="99" t="s">
        <v>476</v>
      </c>
      <c r="J12" s="67" t="s">
        <v>476</v>
      </c>
      <c r="K12" s="79" t="s">
        <v>463</v>
      </c>
      <c r="L12" s="80" t="s">
        <v>464</v>
      </c>
      <c r="M12" s="100" t="s">
        <v>493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6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770</v>
      </c>
      <c r="B1" s="95"/>
      <c r="C1" s="96"/>
      <c r="D1" s="95"/>
      <c r="E1" s="97" t="s">
        <v>29</v>
      </c>
      <c r="F1" s="96"/>
      <c r="G1" s="96" t="str">
        <f>'Decoder Table'!A23</f>
        <v>0xB1</v>
      </c>
      <c r="H1" s="96"/>
      <c r="I1" s="97" t="s">
        <v>471</v>
      </c>
      <c r="J1" s="96"/>
      <c r="K1" s="96"/>
      <c r="L1" s="96" t="str">
        <f>CONCATENATE("0x",'Decoder Table'!B23)</f>
        <v>0x170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170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171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172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173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174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175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176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177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178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179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17A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17B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17C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17D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17E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17F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180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489</v>
      </c>
      <c r="J23" s="65" t="s">
        <v>311</v>
      </c>
      <c r="K23" s="68" t="s">
        <v>463</v>
      </c>
      <c r="L23" s="69" t="s">
        <v>464</v>
      </c>
      <c r="M23" s="70" t="s">
        <v>533</v>
      </c>
      <c r="N23" s="76" t="s">
        <v>534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181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488</v>
      </c>
      <c r="J24" s="66" t="s">
        <v>308</v>
      </c>
      <c r="K24" s="72" t="s">
        <v>463</v>
      </c>
      <c r="L24" s="73" t="s">
        <v>464</v>
      </c>
      <c r="M24" s="70" t="s">
        <v>519</v>
      </c>
      <c r="N24" s="77" t="s">
        <v>520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182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479</v>
      </c>
      <c r="G25" s="72"/>
      <c r="H25" s="66" t="s">
        <v>292</v>
      </c>
      <c r="I25" s="65" t="s">
        <v>315</v>
      </c>
      <c r="J25" s="66" t="s">
        <v>476</v>
      </c>
      <c r="K25" s="72" t="s">
        <v>463</v>
      </c>
      <c r="L25" s="73" t="s">
        <v>464</v>
      </c>
      <c r="M25" s="70" t="s">
        <v>133</v>
      </c>
      <c r="N25" s="77" t="s">
        <v>132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183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495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184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185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186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187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7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771</v>
      </c>
      <c r="B1" s="95"/>
      <c r="C1" s="96"/>
      <c r="D1" s="95"/>
      <c r="E1" s="97" t="s">
        <v>29</v>
      </c>
      <c r="F1" s="96"/>
      <c r="G1" s="96" t="str">
        <f>'Decoder Table'!A12</f>
        <v>0xA1</v>
      </c>
      <c r="H1" s="96"/>
      <c r="I1" s="97" t="s">
        <v>471</v>
      </c>
      <c r="J1" s="96"/>
      <c r="K1" s="96"/>
      <c r="L1" s="96" t="str">
        <f>CONCATENATE("0x",'Decoder Table'!B12)</f>
        <v>0x080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080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081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082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083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084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085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086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087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088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089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08A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08B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08C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08D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08E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08F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090</v>
      </c>
      <c r="B23" s="369" t="s">
        <v>462</v>
      </c>
      <c r="C23" s="366" t="s">
        <v>476</v>
      </c>
      <c r="D23" s="366" t="s">
        <v>476</v>
      </c>
      <c r="E23" s="366" t="s">
        <v>476</v>
      </c>
      <c r="F23" s="366" t="s">
        <v>476</v>
      </c>
      <c r="G23" s="369"/>
      <c r="H23" s="367" t="s">
        <v>476</v>
      </c>
      <c r="I23" s="366" t="s">
        <v>306</v>
      </c>
      <c r="J23" s="366" t="s">
        <v>314</v>
      </c>
      <c r="K23" s="369" t="s">
        <v>463</v>
      </c>
      <c r="L23" s="370" t="s">
        <v>464</v>
      </c>
      <c r="M23" s="371" t="s">
        <v>494</v>
      </c>
      <c r="N23" s="374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091</v>
      </c>
      <c r="B24" s="369" t="s">
        <v>462</v>
      </c>
      <c r="C24" s="367" t="s">
        <v>476</v>
      </c>
      <c r="D24" s="367" t="s">
        <v>476</v>
      </c>
      <c r="E24" s="366" t="s">
        <v>476</v>
      </c>
      <c r="F24" s="367" t="s">
        <v>476</v>
      </c>
      <c r="G24" s="372"/>
      <c r="H24" s="367" t="s">
        <v>476</v>
      </c>
      <c r="I24" s="366" t="s">
        <v>488</v>
      </c>
      <c r="J24" s="367" t="s">
        <v>316</v>
      </c>
      <c r="K24" s="372" t="s">
        <v>463</v>
      </c>
      <c r="L24" s="373" t="s">
        <v>464</v>
      </c>
      <c r="M24" s="371" t="s">
        <v>527</v>
      </c>
      <c r="N24" s="375" t="s">
        <v>528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092</v>
      </c>
      <c r="B25" s="369" t="s">
        <v>462</v>
      </c>
      <c r="C25" s="367" t="s">
        <v>476</v>
      </c>
      <c r="D25" s="367" t="s">
        <v>476</v>
      </c>
      <c r="E25" s="366" t="s">
        <v>476</v>
      </c>
      <c r="F25" s="367" t="s">
        <v>476</v>
      </c>
      <c r="G25" s="372"/>
      <c r="H25" s="367" t="s">
        <v>476</v>
      </c>
      <c r="I25" s="366" t="s">
        <v>489</v>
      </c>
      <c r="J25" s="367" t="s">
        <v>308</v>
      </c>
      <c r="K25" s="372" t="s">
        <v>463</v>
      </c>
      <c r="L25" s="373" t="s">
        <v>464</v>
      </c>
      <c r="M25" s="371" t="s">
        <v>521</v>
      </c>
      <c r="N25" s="375" t="s">
        <v>529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093</v>
      </c>
      <c r="B26" s="369" t="s">
        <v>462</v>
      </c>
      <c r="C26" s="367" t="s">
        <v>476</v>
      </c>
      <c r="D26" s="367" t="s">
        <v>476</v>
      </c>
      <c r="E26" s="366" t="s">
        <v>476</v>
      </c>
      <c r="F26" s="367" t="s">
        <v>479</v>
      </c>
      <c r="G26" s="372"/>
      <c r="H26" s="367" t="s">
        <v>292</v>
      </c>
      <c r="I26" s="366" t="s">
        <v>315</v>
      </c>
      <c r="J26" s="367" t="s">
        <v>476</v>
      </c>
      <c r="K26" s="372" t="s">
        <v>463</v>
      </c>
      <c r="L26" s="373" t="s">
        <v>464</v>
      </c>
      <c r="M26" s="371" t="s">
        <v>154</v>
      </c>
      <c r="N26" s="375" t="s">
        <v>132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094</v>
      </c>
      <c r="B27" s="369" t="s">
        <v>462</v>
      </c>
      <c r="C27" s="367" t="s">
        <v>476</v>
      </c>
      <c r="D27" s="367" t="s">
        <v>476</v>
      </c>
      <c r="E27" s="366" t="s">
        <v>476</v>
      </c>
      <c r="F27" s="367" t="s">
        <v>476</v>
      </c>
      <c r="G27" s="372"/>
      <c r="H27" s="367" t="s">
        <v>476</v>
      </c>
      <c r="I27" s="366" t="s">
        <v>306</v>
      </c>
      <c r="J27" s="367" t="s">
        <v>311</v>
      </c>
      <c r="K27" s="372" t="s">
        <v>463</v>
      </c>
      <c r="L27" s="373" t="s">
        <v>464</v>
      </c>
      <c r="M27" s="371" t="s">
        <v>497</v>
      </c>
      <c r="N27" s="375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095</v>
      </c>
      <c r="B28" s="369" t="s">
        <v>462</v>
      </c>
      <c r="C28" s="367" t="s">
        <v>476</v>
      </c>
      <c r="D28" s="367" t="s">
        <v>476</v>
      </c>
      <c r="E28" s="366" t="s">
        <v>476</v>
      </c>
      <c r="F28" s="367" t="s">
        <v>476</v>
      </c>
      <c r="G28" s="372"/>
      <c r="H28" s="367" t="s">
        <v>476</v>
      </c>
      <c r="I28" s="366" t="s">
        <v>307</v>
      </c>
      <c r="J28" s="367" t="s">
        <v>316</v>
      </c>
      <c r="K28" s="372" t="s">
        <v>463</v>
      </c>
      <c r="L28" s="373" t="s">
        <v>464</v>
      </c>
      <c r="M28" s="371" t="s">
        <v>495</v>
      </c>
      <c r="N28" s="375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096</v>
      </c>
      <c r="B29" s="369" t="s">
        <v>462</v>
      </c>
      <c r="C29" s="367" t="s">
        <v>476</v>
      </c>
      <c r="D29" s="367" t="s">
        <v>476</v>
      </c>
      <c r="E29" s="366" t="s">
        <v>476</v>
      </c>
      <c r="F29" s="367" t="s">
        <v>476</v>
      </c>
      <c r="G29" s="372"/>
      <c r="H29" s="367" t="s">
        <v>476</v>
      </c>
      <c r="I29" s="366" t="s">
        <v>476</v>
      </c>
      <c r="J29" s="367" t="s">
        <v>476</v>
      </c>
      <c r="K29" s="372" t="s">
        <v>463</v>
      </c>
      <c r="L29" s="373" t="s">
        <v>464</v>
      </c>
      <c r="M29" s="371" t="s">
        <v>7</v>
      </c>
      <c r="N29" s="375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097</v>
      </c>
      <c r="B30" s="376" t="s">
        <v>35</v>
      </c>
      <c r="C30" s="368" t="s">
        <v>476</v>
      </c>
      <c r="D30" s="368" t="s">
        <v>476</v>
      </c>
      <c r="E30" s="368" t="s">
        <v>476</v>
      </c>
      <c r="F30" s="368" t="s">
        <v>476</v>
      </c>
      <c r="G30" s="376"/>
      <c r="H30" s="368" t="s">
        <v>476</v>
      </c>
      <c r="I30" s="368" t="s">
        <v>476</v>
      </c>
      <c r="J30" s="368" t="s">
        <v>476</v>
      </c>
      <c r="K30" s="376" t="s">
        <v>463</v>
      </c>
      <c r="L30" s="377" t="s">
        <v>464</v>
      </c>
      <c r="M30" s="379" t="s">
        <v>493</v>
      </c>
      <c r="N30" s="378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92D050"/>
  </sheetPr>
  <dimension ref="A1:AK38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772</v>
      </c>
      <c r="B1" s="95"/>
      <c r="C1" s="96"/>
      <c r="D1" s="95"/>
      <c r="E1" s="97" t="s">
        <v>29</v>
      </c>
      <c r="F1" s="96"/>
      <c r="G1" s="96" t="str">
        <f>'Decoder Table'!A62</f>
        <v>0x82</v>
      </c>
      <c r="H1" s="96"/>
      <c r="I1" s="97" t="s">
        <v>471</v>
      </c>
      <c r="J1" s="96"/>
      <c r="K1" s="96"/>
      <c r="L1" s="96" t="str">
        <f>CONCATENATE("0x",'Decoder Table'!B62)</f>
        <v>0x460</v>
      </c>
      <c r="M1" s="96"/>
      <c r="N1" s="98" t="s">
        <v>800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460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461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161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462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496</v>
      </c>
      <c r="N7" s="74" t="s">
        <v>163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463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/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464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/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465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/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466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/>
      <c r="I11" s="65"/>
      <c r="J11" s="65"/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467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623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750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468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/>
      <c r="G14" s="68"/>
      <c r="H14" s="66"/>
      <c r="I14" s="65" t="s">
        <v>312</v>
      </c>
      <c r="J14" s="66" t="s">
        <v>311</v>
      </c>
      <c r="K14" s="72" t="s">
        <v>463</v>
      </c>
      <c r="L14" s="73" t="s">
        <v>464</v>
      </c>
      <c r="M14" s="70" t="s">
        <v>504</v>
      </c>
      <c r="N14" s="76" t="s">
        <v>162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469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/>
      <c r="G15" s="72"/>
      <c r="H15" s="66"/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160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46A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/>
      <c r="G16" s="72"/>
      <c r="H16" s="66"/>
      <c r="I16" s="65" t="s">
        <v>488</v>
      </c>
      <c r="J16" s="66" t="s">
        <v>314</v>
      </c>
      <c r="K16" s="72" t="s">
        <v>463</v>
      </c>
      <c r="L16" s="73" t="s">
        <v>464</v>
      </c>
      <c r="M16" s="70" t="s">
        <v>625</v>
      </c>
      <c r="N16" s="77" t="s">
        <v>626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46B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/>
      <c r="G17" s="72"/>
      <c r="H17" s="66" t="s">
        <v>304</v>
      </c>
      <c r="I17" s="65" t="s">
        <v>315</v>
      </c>
      <c r="J17" s="66"/>
      <c r="K17" s="72" t="s">
        <v>463</v>
      </c>
      <c r="L17" s="73" t="s">
        <v>464</v>
      </c>
      <c r="M17" s="70" t="s">
        <v>106</v>
      </c>
      <c r="N17" s="74" t="s">
        <v>648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46C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/>
      <c r="G18" s="72"/>
      <c r="H18" s="66"/>
      <c r="I18" s="65" t="s">
        <v>488</v>
      </c>
      <c r="J18" s="66" t="s">
        <v>316</v>
      </c>
      <c r="K18" s="72" t="s">
        <v>463</v>
      </c>
      <c r="L18" s="73" t="s">
        <v>464</v>
      </c>
      <c r="M18" s="70" t="s">
        <v>527</v>
      </c>
      <c r="N18" s="74" t="s">
        <v>649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46D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/>
      <c r="G19" s="72"/>
      <c r="H19" s="66" t="s">
        <v>304</v>
      </c>
      <c r="I19" s="65" t="s">
        <v>315</v>
      </c>
      <c r="J19" s="66"/>
      <c r="K19" s="72" t="s">
        <v>463</v>
      </c>
      <c r="L19" s="73" t="s">
        <v>464</v>
      </c>
      <c r="M19" s="70" t="s">
        <v>106</v>
      </c>
      <c r="N19" s="74" t="s">
        <v>648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46E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/>
      <c r="G20" s="72"/>
      <c r="H20" s="66"/>
      <c r="I20" s="65" t="s">
        <v>488</v>
      </c>
      <c r="J20" s="66" t="s">
        <v>316</v>
      </c>
      <c r="K20" s="72" t="s">
        <v>463</v>
      </c>
      <c r="L20" s="73" t="s">
        <v>464</v>
      </c>
      <c r="M20" s="70" t="s">
        <v>527</v>
      </c>
      <c r="N20" s="74" t="s">
        <v>649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46F</v>
      </c>
      <c r="B21" s="68" t="s">
        <v>462</v>
      </c>
      <c r="C21" s="66"/>
      <c r="D21" s="66"/>
      <c r="E21" s="65"/>
      <c r="F21" s="66"/>
      <c r="G21" s="72"/>
      <c r="H21" s="66" t="s">
        <v>304</v>
      </c>
      <c r="I21" s="65" t="s">
        <v>315</v>
      </c>
      <c r="J21" s="66"/>
      <c r="K21" s="72" t="s">
        <v>463</v>
      </c>
      <c r="L21" s="73" t="s">
        <v>464</v>
      </c>
      <c r="M21" s="70" t="s">
        <v>106</v>
      </c>
      <c r="N21" s="74" t="s">
        <v>648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628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751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63" t="str">
        <f>IF(MID($L$1,3,1)="0",CONCATENATE("0",DEC2HEX(HEX2DEC(MID($L$1,3,3))+16)),DEC2HEX(HEX2DEC(MID($L$1,3,3))+16))</f>
        <v>470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/>
      <c r="G23" s="68"/>
      <c r="H23" s="66"/>
      <c r="I23" s="65" t="s">
        <v>488</v>
      </c>
      <c r="J23" s="66" t="s">
        <v>316</v>
      </c>
      <c r="K23" s="72" t="s">
        <v>463</v>
      </c>
      <c r="L23" s="73" t="s">
        <v>464</v>
      </c>
      <c r="M23" s="70" t="s">
        <v>527</v>
      </c>
      <c r="N23" s="74" t="s">
        <v>649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63" t="str">
        <f>IF(MID($L$1,3,1)="0",CONCATENATE("0",DEC2HEX(HEX2DEC(MID($L$1,3,3))+17)),DEC2HEX(HEX2DEC(MID($L$1,3,3))+17))</f>
        <v>471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479</v>
      </c>
      <c r="G24" s="72"/>
      <c r="H24" s="66" t="s">
        <v>304</v>
      </c>
      <c r="I24" s="65" t="s">
        <v>315</v>
      </c>
      <c r="J24" s="66"/>
      <c r="K24" s="72" t="s">
        <v>478</v>
      </c>
      <c r="L24" s="73" t="s">
        <v>464</v>
      </c>
      <c r="M24" s="70" t="s">
        <v>106</v>
      </c>
      <c r="N24" s="74" t="s">
        <v>648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63" t="str">
        <f>IF(MID($L$1,3,1)="0",CONCATENATE("0",DEC2HEX(HEX2DEC(MID($L$1,3,3))+18)),DEC2HEX(HEX2DEC(MID($L$1,3,3))+18))</f>
        <v>472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/>
      <c r="G25" s="72"/>
      <c r="H25" s="66"/>
      <c r="I25" s="65" t="s">
        <v>313</v>
      </c>
      <c r="J25" s="66" t="s">
        <v>316</v>
      </c>
      <c r="K25" s="72" t="s">
        <v>478</v>
      </c>
      <c r="L25" s="73" t="s">
        <v>464</v>
      </c>
      <c r="M25" s="70" t="s">
        <v>500</v>
      </c>
      <c r="N25" s="77" t="s">
        <v>629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63" t="str">
        <f>IF(MID($L$1,3,1)="0",CONCATENATE("0",DEC2HEX(HEX2DEC(MID($L$1,3,3))+19)),DEC2HEX(HEX2DEC(MID($L$1,3,3))+19))</f>
        <v>473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/>
      <c r="G26" s="72"/>
      <c r="H26" s="66"/>
      <c r="I26" s="65"/>
      <c r="J26" s="66"/>
      <c r="K26" s="72" t="s">
        <v>478</v>
      </c>
      <c r="L26" s="73" t="s">
        <v>464</v>
      </c>
      <c r="M26" s="70" t="s">
        <v>7</v>
      </c>
      <c r="N26" s="74" t="s">
        <v>36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63" t="str">
        <f>IF(MID($L$1,3,1)="0",CONCATENATE("0",DEC2HEX(HEX2DEC(MID($L$1,3,3))+20)),DEC2HEX(HEX2DEC(MID($L$1,3,3))+20))</f>
        <v>474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/>
      <c r="G27" s="72"/>
      <c r="H27" s="66"/>
      <c r="I27" s="65"/>
      <c r="J27" s="66"/>
      <c r="K27" s="72" t="s">
        <v>478</v>
      </c>
      <c r="L27" s="73" t="s">
        <v>464</v>
      </c>
      <c r="M27" s="70" t="s">
        <v>7</v>
      </c>
      <c r="N27" s="74" t="s">
        <v>36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63" t="str">
        <f>IF(MID($L$1,3,1)="0",CONCATENATE("0",DEC2HEX(HEX2DEC(MID($L$1,3,3))+21)),DEC2HEX(HEX2DEC(MID($L$1,3,3))+21))</f>
        <v>475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/>
      <c r="G28" s="72"/>
      <c r="H28" s="66"/>
      <c r="I28" s="65"/>
      <c r="J28" s="66"/>
      <c r="K28" s="72" t="s">
        <v>478</v>
      </c>
      <c r="L28" s="73" t="s">
        <v>464</v>
      </c>
      <c r="M28" s="70" t="s">
        <v>7</v>
      </c>
      <c r="N28" s="74" t="s">
        <v>36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63" t="str">
        <f>IF(MID($L$1,3,1)="0",CONCATENATE("0",DEC2HEX(HEX2DEC(MID($L$1,3,3))+22)),DEC2HEX(HEX2DEC(MID($L$1,3,3))+22))</f>
        <v>476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/>
      <c r="G29" s="72"/>
      <c r="H29" s="66"/>
      <c r="I29" s="65"/>
      <c r="J29" s="66"/>
      <c r="K29" s="72" t="s">
        <v>463</v>
      </c>
      <c r="L29" s="73" t="s">
        <v>464</v>
      </c>
      <c r="M29" s="70" t="s">
        <v>7</v>
      </c>
      <c r="N29" s="74" t="s">
        <v>36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5" thickBot="1" x14ac:dyDescent="0.35">
      <c r="A30" s="64" t="str">
        <f>IF(MID($L$1,3,1)="0",CONCATENATE("0",DEC2HEX(HEX2DEC(MID($L$1,3,3))+23)),DEC2HEX(HEX2DEC(MID($L$1,3,3))+23))</f>
        <v>477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s="2" customFormat="1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s="2" customFormat="1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s="2" customFormat="1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s="2" customFormat="1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s="2" customFormat="1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s="2" customFormat="1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I14:I21 I5:I12 I23:I30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23:E30 E5:E12 E14:E21">
      <formula1>3</formula1>
      <formula2>3</formula2>
    </dataValidation>
    <dataValidation type="list" showErrorMessage="1" errorTitle="Next MIP Address" error="Empty field not allowed" sqref="B5 B23:B29 B14:B21">
      <formula1>"Next,Decode,Fetch"</formula1>
    </dataValidation>
    <dataValidation type="list" showInputMessage="1" showErrorMessage="1" sqref="K5:K12 K14:K21 K23:K30">
      <formula1>"R,W"</formula1>
    </dataValidation>
    <dataValidation type="list" showInputMessage="1" showErrorMessage="1" sqref="L5:L12 L14:L21 L23:L30">
      <formula1>"IO,MEM"</formula1>
    </dataValidation>
    <dataValidation type="list" allowBlank="1" showInputMessage="1" showErrorMessage="1" sqref="J14:J21 J5:J12 J23:J30">
      <formula1>"from DATA,from IP,from MAR,from MBR,from MDR,from RES,from [SEL],from SR"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C23:C30 C5:C12 C14:C21">
      <formula1>"Clear"</formula1>
    </dataValidation>
    <dataValidation type="list" allowBlank="1" showInputMessage="1" showErrorMessage="1" sqref="F23:F30 F5:F12 F14:F21">
      <formula1>"Affect"</formula1>
    </dataValidation>
    <dataValidation type="list" allowBlank="1" showInputMessage="1" showErrorMessage="1" sqref="G23:G30 G5:G12 G14:G21">
      <formula1>"S,O,Z,NS,NO,NZ"</formula1>
    </dataValidation>
    <dataValidation type="list" showInputMessage="1" showErrorMessage="1" sqref="D23:D30 D5:D12 D14:D21">
      <formula1>"Enable"</formula1>
    </dataValidation>
    <dataValidation type="list" allowBlank="1" showInputMessage="1" showErrorMessage="1" sqref="B30 B6:B12">
      <formula1>"Next,Decode,Fetch"</formula1>
    </dataValidation>
  </dataValidations>
  <pageMargins left="0.7" right="0.7" top="0.78740157499999996" bottom="0.78740157499999996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2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48" customWidth="1"/>
    <col min="2" max="2" width="9.33203125" style="448" customWidth="1"/>
    <col min="3" max="3" width="8.44140625" style="448" customWidth="1"/>
    <col min="4" max="4" width="9.109375" style="448" customWidth="1"/>
    <col min="5" max="5" width="7.33203125" style="448" customWidth="1"/>
    <col min="6" max="6" width="8.88671875" style="448" customWidth="1"/>
    <col min="7" max="7" width="5.6640625" style="448" customWidth="1"/>
    <col min="8" max="8" width="7.44140625" style="448" customWidth="1"/>
    <col min="9" max="9" width="10.33203125" style="448" customWidth="1"/>
    <col min="10" max="10" width="13.5546875" style="448" customWidth="1"/>
    <col min="11" max="11" width="4.6640625" style="448" customWidth="1"/>
    <col min="12" max="12" width="8" style="448" customWidth="1"/>
    <col min="13" max="13" width="20.6640625" style="450" customWidth="1"/>
    <col min="14" max="14" width="50.6640625" style="450" customWidth="1"/>
    <col min="15" max="177" width="11.44140625" style="446"/>
    <col min="178" max="178" width="7.6640625" style="446" customWidth="1"/>
    <col min="179" max="181" width="2.6640625" style="446" customWidth="1"/>
    <col min="182" max="182" width="7.6640625" style="446" customWidth="1"/>
    <col min="183" max="228" width="2.6640625" style="446" customWidth="1"/>
    <col min="229" max="229" width="18.5546875" style="446" customWidth="1"/>
    <col min="230" max="433" width="11.44140625" style="446"/>
    <col min="434" max="434" width="7.6640625" style="446" customWidth="1"/>
    <col min="435" max="437" width="2.6640625" style="446" customWidth="1"/>
    <col min="438" max="438" width="7.6640625" style="446" customWidth="1"/>
    <col min="439" max="484" width="2.6640625" style="446" customWidth="1"/>
    <col min="485" max="485" width="18.5546875" style="446" customWidth="1"/>
    <col min="486" max="689" width="11.44140625" style="446"/>
    <col min="690" max="690" width="7.6640625" style="446" customWidth="1"/>
    <col min="691" max="693" width="2.6640625" style="446" customWidth="1"/>
    <col min="694" max="694" width="7.6640625" style="446" customWidth="1"/>
    <col min="695" max="740" width="2.6640625" style="446" customWidth="1"/>
    <col min="741" max="741" width="18.5546875" style="446" customWidth="1"/>
    <col min="742" max="945" width="11.44140625" style="446"/>
    <col min="946" max="946" width="7.6640625" style="446" customWidth="1"/>
    <col min="947" max="949" width="2.6640625" style="446" customWidth="1"/>
    <col min="950" max="950" width="7.6640625" style="446" customWidth="1"/>
    <col min="951" max="996" width="2.6640625" style="446" customWidth="1"/>
    <col min="997" max="997" width="18.5546875" style="446" customWidth="1"/>
    <col min="998" max="1201" width="11.44140625" style="446"/>
    <col min="1202" max="1202" width="7.6640625" style="446" customWidth="1"/>
    <col min="1203" max="1205" width="2.6640625" style="446" customWidth="1"/>
    <col min="1206" max="1206" width="7.6640625" style="446" customWidth="1"/>
    <col min="1207" max="1252" width="2.6640625" style="446" customWidth="1"/>
    <col min="1253" max="1253" width="18.5546875" style="446" customWidth="1"/>
    <col min="1254" max="1457" width="11.44140625" style="446"/>
    <col min="1458" max="1458" width="7.6640625" style="446" customWidth="1"/>
    <col min="1459" max="1461" width="2.6640625" style="446" customWidth="1"/>
    <col min="1462" max="1462" width="7.6640625" style="446" customWidth="1"/>
    <col min="1463" max="1508" width="2.6640625" style="446" customWidth="1"/>
    <col min="1509" max="1509" width="18.5546875" style="446" customWidth="1"/>
    <col min="1510" max="1713" width="11.44140625" style="446"/>
    <col min="1714" max="1714" width="7.6640625" style="446" customWidth="1"/>
    <col min="1715" max="1717" width="2.6640625" style="446" customWidth="1"/>
    <col min="1718" max="1718" width="7.6640625" style="446" customWidth="1"/>
    <col min="1719" max="1764" width="2.6640625" style="446" customWidth="1"/>
    <col min="1765" max="1765" width="18.5546875" style="446" customWidth="1"/>
    <col min="1766" max="1969" width="11.44140625" style="446"/>
    <col min="1970" max="1970" width="7.6640625" style="446" customWidth="1"/>
    <col min="1971" max="1973" width="2.6640625" style="446" customWidth="1"/>
    <col min="1974" max="1974" width="7.6640625" style="446" customWidth="1"/>
    <col min="1975" max="2020" width="2.6640625" style="446" customWidth="1"/>
    <col min="2021" max="2021" width="18.5546875" style="446" customWidth="1"/>
    <col min="2022" max="2225" width="11.44140625" style="446"/>
    <col min="2226" max="2226" width="7.6640625" style="446" customWidth="1"/>
    <col min="2227" max="2229" width="2.6640625" style="446" customWidth="1"/>
    <col min="2230" max="2230" width="7.6640625" style="446" customWidth="1"/>
    <col min="2231" max="2276" width="2.6640625" style="446" customWidth="1"/>
    <col min="2277" max="2277" width="18.5546875" style="446" customWidth="1"/>
    <col min="2278" max="2481" width="11.44140625" style="446"/>
    <col min="2482" max="2482" width="7.6640625" style="446" customWidth="1"/>
    <col min="2483" max="2485" width="2.6640625" style="446" customWidth="1"/>
    <col min="2486" max="2486" width="7.6640625" style="446" customWidth="1"/>
    <col min="2487" max="2532" width="2.6640625" style="446" customWidth="1"/>
    <col min="2533" max="2533" width="18.5546875" style="446" customWidth="1"/>
    <col min="2534" max="2737" width="11.44140625" style="446"/>
    <col min="2738" max="2738" width="7.6640625" style="446" customWidth="1"/>
    <col min="2739" max="2741" width="2.6640625" style="446" customWidth="1"/>
    <col min="2742" max="2742" width="7.6640625" style="446" customWidth="1"/>
    <col min="2743" max="2788" width="2.6640625" style="446" customWidth="1"/>
    <col min="2789" max="2789" width="18.5546875" style="446" customWidth="1"/>
    <col min="2790" max="2993" width="11.44140625" style="446"/>
    <col min="2994" max="2994" width="7.6640625" style="446" customWidth="1"/>
    <col min="2995" max="2997" width="2.6640625" style="446" customWidth="1"/>
    <col min="2998" max="2998" width="7.6640625" style="446" customWidth="1"/>
    <col min="2999" max="3044" width="2.6640625" style="446" customWidth="1"/>
    <col min="3045" max="3045" width="18.5546875" style="446" customWidth="1"/>
    <col min="3046" max="3249" width="11.44140625" style="446"/>
    <col min="3250" max="3250" width="7.6640625" style="446" customWidth="1"/>
    <col min="3251" max="3253" width="2.6640625" style="446" customWidth="1"/>
    <col min="3254" max="3254" width="7.6640625" style="446" customWidth="1"/>
    <col min="3255" max="3300" width="2.6640625" style="446" customWidth="1"/>
    <col min="3301" max="3301" width="18.5546875" style="446" customWidth="1"/>
    <col min="3302" max="3505" width="11.44140625" style="446"/>
    <col min="3506" max="3506" width="7.6640625" style="446" customWidth="1"/>
    <col min="3507" max="3509" width="2.6640625" style="446" customWidth="1"/>
    <col min="3510" max="3510" width="7.6640625" style="446" customWidth="1"/>
    <col min="3511" max="3556" width="2.6640625" style="446" customWidth="1"/>
    <col min="3557" max="3557" width="18.5546875" style="446" customWidth="1"/>
    <col min="3558" max="3761" width="11.44140625" style="446"/>
    <col min="3762" max="3762" width="7.6640625" style="446" customWidth="1"/>
    <col min="3763" max="3765" width="2.6640625" style="446" customWidth="1"/>
    <col min="3766" max="3766" width="7.6640625" style="446" customWidth="1"/>
    <col min="3767" max="3812" width="2.6640625" style="446" customWidth="1"/>
    <col min="3813" max="3813" width="18.5546875" style="446" customWidth="1"/>
    <col min="3814" max="4017" width="11.44140625" style="446"/>
    <col min="4018" max="4018" width="7.6640625" style="446" customWidth="1"/>
    <col min="4019" max="4021" width="2.6640625" style="446" customWidth="1"/>
    <col min="4022" max="4022" width="7.6640625" style="446" customWidth="1"/>
    <col min="4023" max="4068" width="2.6640625" style="446" customWidth="1"/>
    <col min="4069" max="4069" width="18.5546875" style="446" customWidth="1"/>
    <col min="4070" max="4273" width="11.44140625" style="446"/>
    <col min="4274" max="4274" width="7.6640625" style="446" customWidth="1"/>
    <col min="4275" max="4277" width="2.6640625" style="446" customWidth="1"/>
    <col min="4278" max="4278" width="7.6640625" style="446" customWidth="1"/>
    <col min="4279" max="4324" width="2.6640625" style="446" customWidth="1"/>
    <col min="4325" max="4325" width="18.5546875" style="446" customWidth="1"/>
    <col min="4326" max="4529" width="11.44140625" style="446"/>
    <col min="4530" max="4530" width="7.6640625" style="446" customWidth="1"/>
    <col min="4531" max="4533" width="2.6640625" style="446" customWidth="1"/>
    <col min="4534" max="4534" width="7.6640625" style="446" customWidth="1"/>
    <col min="4535" max="4580" width="2.6640625" style="446" customWidth="1"/>
    <col min="4581" max="4581" width="18.5546875" style="446" customWidth="1"/>
    <col min="4582" max="4785" width="11.44140625" style="446"/>
    <col min="4786" max="4786" width="7.6640625" style="446" customWidth="1"/>
    <col min="4787" max="4789" width="2.6640625" style="446" customWidth="1"/>
    <col min="4790" max="4790" width="7.6640625" style="446" customWidth="1"/>
    <col min="4791" max="4836" width="2.6640625" style="446" customWidth="1"/>
    <col min="4837" max="4837" width="18.5546875" style="446" customWidth="1"/>
    <col min="4838" max="5041" width="11.44140625" style="446"/>
    <col min="5042" max="5042" width="7.6640625" style="446" customWidth="1"/>
    <col min="5043" max="5045" width="2.6640625" style="446" customWidth="1"/>
    <col min="5046" max="5046" width="7.6640625" style="446" customWidth="1"/>
    <col min="5047" max="5092" width="2.6640625" style="446" customWidth="1"/>
    <col min="5093" max="5093" width="18.5546875" style="446" customWidth="1"/>
    <col min="5094" max="5297" width="11.44140625" style="446"/>
    <col min="5298" max="5298" width="7.6640625" style="446" customWidth="1"/>
    <col min="5299" max="5301" width="2.6640625" style="446" customWidth="1"/>
    <col min="5302" max="5302" width="7.6640625" style="446" customWidth="1"/>
    <col min="5303" max="5348" width="2.6640625" style="446" customWidth="1"/>
    <col min="5349" max="5349" width="18.5546875" style="446" customWidth="1"/>
    <col min="5350" max="5553" width="11.44140625" style="446"/>
    <col min="5554" max="5554" width="7.6640625" style="446" customWidth="1"/>
    <col min="5555" max="5557" width="2.6640625" style="446" customWidth="1"/>
    <col min="5558" max="5558" width="7.6640625" style="446" customWidth="1"/>
    <col min="5559" max="5604" width="2.6640625" style="446" customWidth="1"/>
    <col min="5605" max="5605" width="18.5546875" style="446" customWidth="1"/>
    <col min="5606" max="5809" width="11.44140625" style="446"/>
    <col min="5810" max="5810" width="7.6640625" style="446" customWidth="1"/>
    <col min="5811" max="5813" width="2.6640625" style="446" customWidth="1"/>
    <col min="5814" max="5814" width="7.6640625" style="446" customWidth="1"/>
    <col min="5815" max="5860" width="2.6640625" style="446" customWidth="1"/>
    <col min="5861" max="5861" width="18.5546875" style="446" customWidth="1"/>
    <col min="5862" max="6065" width="11.44140625" style="446"/>
    <col min="6066" max="6066" width="7.6640625" style="446" customWidth="1"/>
    <col min="6067" max="6069" width="2.6640625" style="446" customWidth="1"/>
    <col min="6070" max="6070" width="7.6640625" style="446" customWidth="1"/>
    <col min="6071" max="6116" width="2.6640625" style="446" customWidth="1"/>
    <col min="6117" max="6117" width="18.5546875" style="446" customWidth="1"/>
    <col min="6118" max="6321" width="11.44140625" style="446"/>
    <col min="6322" max="6322" width="7.6640625" style="446" customWidth="1"/>
    <col min="6323" max="6325" width="2.6640625" style="446" customWidth="1"/>
    <col min="6326" max="6326" width="7.6640625" style="446" customWidth="1"/>
    <col min="6327" max="6372" width="2.6640625" style="446" customWidth="1"/>
    <col min="6373" max="6373" width="18.5546875" style="446" customWidth="1"/>
    <col min="6374" max="6577" width="11.44140625" style="446"/>
    <col min="6578" max="6578" width="7.6640625" style="446" customWidth="1"/>
    <col min="6579" max="6581" width="2.6640625" style="446" customWidth="1"/>
    <col min="6582" max="6582" width="7.6640625" style="446" customWidth="1"/>
    <col min="6583" max="6628" width="2.6640625" style="446" customWidth="1"/>
    <col min="6629" max="6629" width="18.5546875" style="446" customWidth="1"/>
    <col min="6630" max="6833" width="11.44140625" style="446"/>
    <col min="6834" max="6834" width="7.6640625" style="446" customWidth="1"/>
    <col min="6835" max="6837" width="2.6640625" style="446" customWidth="1"/>
    <col min="6838" max="6838" width="7.6640625" style="446" customWidth="1"/>
    <col min="6839" max="6884" width="2.6640625" style="446" customWidth="1"/>
    <col min="6885" max="6885" width="18.5546875" style="446" customWidth="1"/>
    <col min="6886" max="7089" width="11.44140625" style="446"/>
    <col min="7090" max="7090" width="7.6640625" style="446" customWidth="1"/>
    <col min="7091" max="7093" width="2.6640625" style="446" customWidth="1"/>
    <col min="7094" max="7094" width="7.6640625" style="446" customWidth="1"/>
    <col min="7095" max="7140" width="2.6640625" style="446" customWidth="1"/>
    <col min="7141" max="7141" width="18.5546875" style="446" customWidth="1"/>
    <col min="7142" max="7345" width="11.44140625" style="446"/>
    <col min="7346" max="7346" width="7.6640625" style="446" customWidth="1"/>
    <col min="7347" max="7349" width="2.6640625" style="446" customWidth="1"/>
    <col min="7350" max="7350" width="7.6640625" style="446" customWidth="1"/>
    <col min="7351" max="7396" width="2.6640625" style="446" customWidth="1"/>
    <col min="7397" max="7397" width="18.5546875" style="446" customWidth="1"/>
    <col min="7398" max="7601" width="11.44140625" style="446"/>
    <col min="7602" max="7602" width="7.6640625" style="446" customWidth="1"/>
    <col min="7603" max="7605" width="2.6640625" style="446" customWidth="1"/>
    <col min="7606" max="7606" width="7.6640625" style="446" customWidth="1"/>
    <col min="7607" max="7652" width="2.6640625" style="446" customWidth="1"/>
    <col min="7653" max="7653" width="18.5546875" style="446" customWidth="1"/>
    <col min="7654" max="7857" width="11.44140625" style="446"/>
    <col min="7858" max="7858" width="7.6640625" style="446" customWidth="1"/>
    <col min="7859" max="7861" width="2.6640625" style="446" customWidth="1"/>
    <col min="7862" max="7862" width="7.6640625" style="446" customWidth="1"/>
    <col min="7863" max="7908" width="2.6640625" style="446" customWidth="1"/>
    <col min="7909" max="7909" width="18.5546875" style="446" customWidth="1"/>
    <col min="7910" max="8113" width="11.44140625" style="446"/>
    <col min="8114" max="8114" width="7.6640625" style="446" customWidth="1"/>
    <col min="8115" max="8117" width="2.6640625" style="446" customWidth="1"/>
    <col min="8118" max="8118" width="7.6640625" style="446" customWidth="1"/>
    <col min="8119" max="8164" width="2.6640625" style="446" customWidth="1"/>
    <col min="8165" max="8165" width="18.5546875" style="446" customWidth="1"/>
    <col min="8166" max="8369" width="11.44140625" style="446"/>
    <col min="8370" max="8370" width="7.6640625" style="446" customWidth="1"/>
    <col min="8371" max="8373" width="2.6640625" style="446" customWidth="1"/>
    <col min="8374" max="8374" width="7.6640625" style="446" customWidth="1"/>
    <col min="8375" max="8420" width="2.6640625" style="446" customWidth="1"/>
    <col min="8421" max="8421" width="18.5546875" style="446" customWidth="1"/>
    <col min="8422" max="8625" width="11.44140625" style="446"/>
    <col min="8626" max="8626" width="7.6640625" style="446" customWidth="1"/>
    <col min="8627" max="8629" width="2.6640625" style="446" customWidth="1"/>
    <col min="8630" max="8630" width="7.6640625" style="446" customWidth="1"/>
    <col min="8631" max="8676" width="2.6640625" style="446" customWidth="1"/>
    <col min="8677" max="8677" width="18.5546875" style="446" customWidth="1"/>
    <col min="8678" max="8881" width="11.44140625" style="446"/>
    <col min="8882" max="8882" width="7.6640625" style="446" customWidth="1"/>
    <col min="8883" max="8885" width="2.6640625" style="446" customWidth="1"/>
    <col min="8886" max="8886" width="7.6640625" style="446" customWidth="1"/>
    <col min="8887" max="8932" width="2.6640625" style="446" customWidth="1"/>
    <col min="8933" max="8933" width="18.5546875" style="446" customWidth="1"/>
    <col min="8934" max="9137" width="11.44140625" style="446"/>
    <col min="9138" max="9138" width="7.6640625" style="446" customWidth="1"/>
    <col min="9139" max="9141" width="2.6640625" style="446" customWidth="1"/>
    <col min="9142" max="9142" width="7.6640625" style="446" customWidth="1"/>
    <col min="9143" max="9188" width="2.6640625" style="446" customWidth="1"/>
    <col min="9189" max="9189" width="18.5546875" style="446" customWidth="1"/>
    <col min="9190" max="9393" width="11.44140625" style="446"/>
    <col min="9394" max="9394" width="7.6640625" style="446" customWidth="1"/>
    <col min="9395" max="9397" width="2.6640625" style="446" customWidth="1"/>
    <col min="9398" max="9398" width="7.6640625" style="446" customWidth="1"/>
    <col min="9399" max="9444" width="2.6640625" style="446" customWidth="1"/>
    <col min="9445" max="9445" width="18.5546875" style="446" customWidth="1"/>
    <col min="9446" max="9649" width="11.44140625" style="446"/>
    <col min="9650" max="9650" width="7.6640625" style="446" customWidth="1"/>
    <col min="9651" max="9653" width="2.6640625" style="446" customWidth="1"/>
    <col min="9654" max="9654" width="7.6640625" style="446" customWidth="1"/>
    <col min="9655" max="9700" width="2.6640625" style="446" customWidth="1"/>
    <col min="9701" max="9701" width="18.5546875" style="446" customWidth="1"/>
    <col min="9702" max="9905" width="11.44140625" style="446"/>
    <col min="9906" max="9906" width="7.6640625" style="446" customWidth="1"/>
    <col min="9907" max="9909" width="2.6640625" style="446" customWidth="1"/>
    <col min="9910" max="9910" width="7.6640625" style="446" customWidth="1"/>
    <col min="9911" max="9956" width="2.6640625" style="446" customWidth="1"/>
    <col min="9957" max="9957" width="18.5546875" style="446" customWidth="1"/>
    <col min="9958" max="10161" width="11.44140625" style="446"/>
    <col min="10162" max="10162" width="7.6640625" style="446" customWidth="1"/>
    <col min="10163" max="10165" width="2.6640625" style="446" customWidth="1"/>
    <col min="10166" max="10166" width="7.6640625" style="446" customWidth="1"/>
    <col min="10167" max="10212" width="2.6640625" style="446" customWidth="1"/>
    <col min="10213" max="10213" width="18.5546875" style="446" customWidth="1"/>
    <col min="10214" max="10417" width="11.44140625" style="446"/>
    <col min="10418" max="10418" width="7.6640625" style="446" customWidth="1"/>
    <col min="10419" max="10421" width="2.6640625" style="446" customWidth="1"/>
    <col min="10422" max="10422" width="7.6640625" style="446" customWidth="1"/>
    <col min="10423" max="10468" width="2.6640625" style="446" customWidth="1"/>
    <col min="10469" max="10469" width="18.5546875" style="446" customWidth="1"/>
    <col min="10470" max="10673" width="11.44140625" style="446"/>
    <col min="10674" max="10674" width="7.6640625" style="446" customWidth="1"/>
    <col min="10675" max="10677" width="2.6640625" style="446" customWidth="1"/>
    <col min="10678" max="10678" width="7.6640625" style="446" customWidth="1"/>
    <col min="10679" max="10724" width="2.6640625" style="446" customWidth="1"/>
    <col min="10725" max="10725" width="18.5546875" style="446" customWidth="1"/>
    <col min="10726" max="10929" width="11.44140625" style="446"/>
    <col min="10930" max="10930" width="7.6640625" style="446" customWidth="1"/>
    <col min="10931" max="10933" width="2.6640625" style="446" customWidth="1"/>
    <col min="10934" max="10934" width="7.6640625" style="446" customWidth="1"/>
    <col min="10935" max="10980" width="2.6640625" style="446" customWidth="1"/>
    <col min="10981" max="10981" width="18.5546875" style="446" customWidth="1"/>
    <col min="10982" max="11185" width="11.44140625" style="446"/>
    <col min="11186" max="11186" width="7.6640625" style="446" customWidth="1"/>
    <col min="11187" max="11189" width="2.6640625" style="446" customWidth="1"/>
    <col min="11190" max="11190" width="7.6640625" style="446" customWidth="1"/>
    <col min="11191" max="11236" width="2.6640625" style="446" customWidth="1"/>
    <col min="11237" max="11237" width="18.5546875" style="446" customWidth="1"/>
    <col min="11238" max="11441" width="11.44140625" style="446"/>
    <col min="11442" max="11442" width="7.6640625" style="446" customWidth="1"/>
    <col min="11443" max="11445" width="2.6640625" style="446" customWidth="1"/>
    <col min="11446" max="11446" width="7.6640625" style="446" customWidth="1"/>
    <col min="11447" max="11492" width="2.6640625" style="446" customWidth="1"/>
    <col min="11493" max="11493" width="18.5546875" style="446" customWidth="1"/>
    <col min="11494" max="11697" width="11.44140625" style="446"/>
    <col min="11698" max="11698" width="7.6640625" style="446" customWidth="1"/>
    <col min="11699" max="11701" width="2.6640625" style="446" customWidth="1"/>
    <col min="11702" max="11702" width="7.6640625" style="446" customWidth="1"/>
    <col min="11703" max="11748" width="2.6640625" style="446" customWidth="1"/>
    <col min="11749" max="11749" width="18.5546875" style="446" customWidth="1"/>
    <col min="11750" max="11953" width="11.44140625" style="446"/>
    <col min="11954" max="11954" width="7.6640625" style="446" customWidth="1"/>
    <col min="11955" max="11957" width="2.6640625" style="446" customWidth="1"/>
    <col min="11958" max="11958" width="7.6640625" style="446" customWidth="1"/>
    <col min="11959" max="12004" width="2.6640625" style="446" customWidth="1"/>
    <col min="12005" max="12005" width="18.5546875" style="446" customWidth="1"/>
    <col min="12006" max="12209" width="11.44140625" style="446"/>
    <col min="12210" max="12210" width="7.6640625" style="446" customWidth="1"/>
    <col min="12211" max="12213" width="2.6640625" style="446" customWidth="1"/>
    <col min="12214" max="12214" width="7.6640625" style="446" customWidth="1"/>
    <col min="12215" max="12260" width="2.6640625" style="446" customWidth="1"/>
    <col min="12261" max="12261" width="18.5546875" style="446" customWidth="1"/>
    <col min="12262" max="12465" width="11.44140625" style="446"/>
    <col min="12466" max="12466" width="7.6640625" style="446" customWidth="1"/>
    <col min="12467" max="12469" width="2.6640625" style="446" customWidth="1"/>
    <col min="12470" max="12470" width="7.6640625" style="446" customWidth="1"/>
    <col min="12471" max="12516" width="2.6640625" style="446" customWidth="1"/>
    <col min="12517" max="12517" width="18.5546875" style="446" customWidth="1"/>
    <col min="12518" max="12721" width="11.44140625" style="446"/>
    <col min="12722" max="12722" width="7.6640625" style="446" customWidth="1"/>
    <col min="12723" max="12725" width="2.6640625" style="446" customWidth="1"/>
    <col min="12726" max="12726" width="7.6640625" style="446" customWidth="1"/>
    <col min="12727" max="12772" width="2.6640625" style="446" customWidth="1"/>
    <col min="12773" max="12773" width="18.5546875" style="446" customWidth="1"/>
    <col min="12774" max="12977" width="11.44140625" style="446"/>
    <col min="12978" max="12978" width="7.6640625" style="446" customWidth="1"/>
    <col min="12979" max="12981" width="2.6640625" style="446" customWidth="1"/>
    <col min="12982" max="12982" width="7.6640625" style="446" customWidth="1"/>
    <col min="12983" max="13028" width="2.6640625" style="446" customWidth="1"/>
    <col min="13029" max="13029" width="18.5546875" style="446" customWidth="1"/>
    <col min="13030" max="13233" width="11.44140625" style="446"/>
    <col min="13234" max="13234" width="7.6640625" style="446" customWidth="1"/>
    <col min="13235" max="13237" width="2.6640625" style="446" customWidth="1"/>
    <col min="13238" max="13238" width="7.6640625" style="446" customWidth="1"/>
    <col min="13239" max="13284" width="2.6640625" style="446" customWidth="1"/>
    <col min="13285" max="13285" width="18.5546875" style="446" customWidth="1"/>
    <col min="13286" max="13489" width="11.44140625" style="446"/>
    <col min="13490" max="13490" width="7.6640625" style="446" customWidth="1"/>
    <col min="13491" max="13493" width="2.6640625" style="446" customWidth="1"/>
    <col min="13494" max="13494" width="7.6640625" style="446" customWidth="1"/>
    <col min="13495" max="13540" width="2.6640625" style="446" customWidth="1"/>
    <col min="13541" max="13541" width="18.5546875" style="446" customWidth="1"/>
    <col min="13542" max="13745" width="11.44140625" style="446"/>
    <col min="13746" max="13746" width="7.6640625" style="446" customWidth="1"/>
    <col min="13747" max="13749" width="2.6640625" style="446" customWidth="1"/>
    <col min="13750" max="13750" width="7.6640625" style="446" customWidth="1"/>
    <col min="13751" max="13796" width="2.6640625" style="446" customWidth="1"/>
    <col min="13797" max="13797" width="18.5546875" style="446" customWidth="1"/>
    <col min="13798" max="14001" width="11.44140625" style="446"/>
    <col min="14002" max="14002" width="7.6640625" style="446" customWidth="1"/>
    <col min="14003" max="14005" width="2.6640625" style="446" customWidth="1"/>
    <col min="14006" max="14006" width="7.6640625" style="446" customWidth="1"/>
    <col min="14007" max="14052" width="2.6640625" style="446" customWidth="1"/>
    <col min="14053" max="14053" width="18.5546875" style="446" customWidth="1"/>
    <col min="14054" max="14257" width="11.44140625" style="446"/>
    <col min="14258" max="14258" width="7.6640625" style="446" customWidth="1"/>
    <col min="14259" max="14261" width="2.6640625" style="446" customWidth="1"/>
    <col min="14262" max="14262" width="7.6640625" style="446" customWidth="1"/>
    <col min="14263" max="14308" width="2.6640625" style="446" customWidth="1"/>
    <col min="14309" max="14309" width="18.5546875" style="446" customWidth="1"/>
    <col min="14310" max="14513" width="11.44140625" style="446"/>
    <col min="14514" max="14514" width="7.6640625" style="446" customWidth="1"/>
    <col min="14515" max="14517" width="2.6640625" style="446" customWidth="1"/>
    <col min="14518" max="14518" width="7.6640625" style="446" customWidth="1"/>
    <col min="14519" max="14564" width="2.6640625" style="446" customWidth="1"/>
    <col min="14565" max="14565" width="18.5546875" style="446" customWidth="1"/>
    <col min="14566" max="14769" width="11.44140625" style="446"/>
    <col min="14770" max="14770" width="7.6640625" style="446" customWidth="1"/>
    <col min="14771" max="14773" width="2.6640625" style="446" customWidth="1"/>
    <col min="14774" max="14774" width="7.6640625" style="446" customWidth="1"/>
    <col min="14775" max="14820" width="2.6640625" style="446" customWidth="1"/>
    <col min="14821" max="14821" width="18.5546875" style="446" customWidth="1"/>
    <col min="14822" max="15025" width="11.44140625" style="446"/>
    <col min="15026" max="15026" width="7.6640625" style="446" customWidth="1"/>
    <col min="15027" max="15029" width="2.6640625" style="446" customWidth="1"/>
    <col min="15030" max="15030" width="7.6640625" style="446" customWidth="1"/>
    <col min="15031" max="15076" width="2.6640625" style="446" customWidth="1"/>
    <col min="15077" max="15077" width="18.5546875" style="446" customWidth="1"/>
    <col min="15078" max="15281" width="11.44140625" style="446"/>
    <col min="15282" max="15282" width="7.6640625" style="446" customWidth="1"/>
    <col min="15283" max="15285" width="2.6640625" style="446" customWidth="1"/>
    <col min="15286" max="15286" width="7.6640625" style="446" customWidth="1"/>
    <col min="15287" max="15332" width="2.6640625" style="446" customWidth="1"/>
    <col min="15333" max="15333" width="18.5546875" style="446" customWidth="1"/>
    <col min="15334" max="15537" width="11.44140625" style="446"/>
    <col min="15538" max="15538" width="7.6640625" style="446" customWidth="1"/>
    <col min="15539" max="15541" width="2.6640625" style="446" customWidth="1"/>
    <col min="15542" max="15542" width="7.6640625" style="446" customWidth="1"/>
    <col min="15543" max="15588" width="2.6640625" style="446" customWidth="1"/>
    <col min="15589" max="15589" width="18.5546875" style="446" customWidth="1"/>
    <col min="15590" max="15793" width="11.44140625" style="446"/>
    <col min="15794" max="15794" width="7.6640625" style="446" customWidth="1"/>
    <col min="15795" max="15797" width="2.6640625" style="446" customWidth="1"/>
    <col min="15798" max="15798" width="7.6640625" style="446" customWidth="1"/>
    <col min="15799" max="15844" width="2.6640625" style="446" customWidth="1"/>
    <col min="15845" max="15845" width="18.5546875" style="446" customWidth="1"/>
    <col min="15846" max="16049" width="11.44140625" style="446"/>
    <col min="16050" max="16050" width="7.6640625" style="446" customWidth="1"/>
    <col min="16051" max="16053" width="2.6640625" style="446" customWidth="1"/>
    <col min="16054" max="16054" width="7.6640625" style="446" customWidth="1"/>
    <col min="16055" max="16100" width="2.6640625" style="446" customWidth="1"/>
    <col min="16101" max="16101" width="18.5546875" style="446" customWidth="1"/>
    <col min="16102" max="16384" width="11.44140625" style="446"/>
  </cols>
  <sheetData>
    <row r="1" spans="1:37" s="459" customFormat="1" ht="31.5" customHeight="1" thickTop="1" thickBot="1" x14ac:dyDescent="0.35">
      <c r="A1" s="471" t="s">
        <v>777</v>
      </c>
      <c r="B1" s="472"/>
      <c r="C1" s="473"/>
      <c r="D1" s="472"/>
      <c r="E1" s="474" t="s">
        <v>29</v>
      </c>
      <c r="F1" s="473"/>
      <c r="G1" s="473" t="str">
        <f>'Decoder Table'!A65</f>
        <v>0xD6</v>
      </c>
      <c r="H1" s="473"/>
      <c r="I1" s="474" t="s">
        <v>471</v>
      </c>
      <c r="J1" s="473"/>
      <c r="K1" s="473"/>
      <c r="L1" s="473" t="str">
        <f>CONCATENATE("0x",'Decoder Table'!B65)</f>
        <v>0x520</v>
      </c>
      <c r="M1" s="473"/>
      <c r="N1" s="475" t="s">
        <v>744</v>
      </c>
    </row>
    <row r="2" spans="1:37" s="447" customFormat="1" ht="167.25" customHeight="1" thickTop="1" thickBot="1" x14ac:dyDescent="0.35">
      <c r="A2" s="465" t="s">
        <v>32</v>
      </c>
      <c r="B2" s="466" t="s">
        <v>33</v>
      </c>
      <c r="C2" s="466" t="s">
        <v>467</v>
      </c>
      <c r="D2" s="466" t="s">
        <v>465</v>
      </c>
      <c r="E2" s="466" t="s">
        <v>34</v>
      </c>
      <c r="F2" s="466" t="s">
        <v>458</v>
      </c>
      <c r="G2" s="467" t="s">
        <v>466</v>
      </c>
      <c r="H2" s="466" t="s">
        <v>468</v>
      </c>
      <c r="I2" s="466" t="s">
        <v>469</v>
      </c>
      <c r="J2" s="466" t="s">
        <v>470</v>
      </c>
      <c r="K2" s="466" t="s">
        <v>459</v>
      </c>
      <c r="L2" s="468" t="s">
        <v>460</v>
      </c>
      <c r="M2" s="469" t="s">
        <v>461</v>
      </c>
      <c r="N2" s="470" t="s">
        <v>30</v>
      </c>
      <c r="O2" s="454"/>
      <c r="P2" s="455"/>
      <c r="Q2" s="455"/>
    </row>
    <row r="3" spans="1:37" ht="15" thickBot="1" x14ac:dyDescent="0.35">
      <c r="A3" s="460" t="s">
        <v>2</v>
      </c>
      <c r="B3" s="461"/>
      <c r="C3" s="462"/>
      <c r="D3" s="462"/>
      <c r="E3" s="462"/>
      <c r="F3" s="462"/>
      <c r="G3" s="461"/>
      <c r="H3" s="462"/>
      <c r="I3" s="462"/>
      <c r="J3" s="462"/>
      <c r="K3" s="461"/>
      <c r="L3" s="461"/>
      <c r="M3" s="463"/>
      <c r="N3" s="464" t="s">
        <v>2</v>
      </c>
      <c r="O3" s="454"/>
      <c r="P3" s="455"/>
      <c r="Q3" s="455"/>
      <c r="R3" s="447"/>
      <c r="S3" s="447"/>
      <c r="T3" s="447"/>
      <c r="U3" s="447"/>
      <c r="V3" s="447"/>
      <c r="W3" s="447"/>
      <c r="X3" s="447"/>
      <c r="Y3" s="447"/>
      <c r="Z3" s="447"/>
      <c r="AA3" s="447"/>
      <c r="AB3" s="447"/>
      <c r="AC3" s="447"/>
      <c r="AD3" s="447"/>
      <c r="AE3" s="447"/>
      <c r="AF3" s="447"/>
      <c r="AG3" s="447"/>
      <c r="AH3" s="447"/>
      <c r="AI3" s="447"/>
      <c r="AJ3" s="447"/>
      <c r="AK3" s="447"/>
    </row>
    <row r="4" spans="1:37" ht="15" thickBot="1" x14ac:dyDescent="0.35">
      <c r="A4" s="460" t="s">
        <v>8</v>
      </c>
      <c r="B4" s="461"/>
      <c r="C4" s="462"/>
      <c r="D4" s="462"/>
      <c r="E4" s="462"/>
      <c r="F4" s="462"/>
      <c r="G4" s="461"/>
      <c r="H4" s="462"/>
      <c r="I4" s="462"/>
      <c r="J4" s="462"/>
      <c r="K4" s="461"/>
      <c r="L4" s="461"/>
      <c r="M4" s="463"/>
      <c r="N4" s="464" t="s">
        <v>9</v>
      </c>
      <c r="O4" s="454"/>
      <c r="P4" s="455"/>
      <c r="Q4" s="455"/>
      <c r="R4" s="447"/>
      <c r="S4" s="447"/>
      <c r="T4" s="447"/>
      <c r="U4" s="447"/>
      <c r="V4" s="447"/>
      <c r="W4" s="447"/>
      <c r="X4" s="447"/>
      <c r="Y4" s="447"/>
      <c r="Z4" s="447"/>
      <c r="AA4" s="447"/>
      <c r="AB4" s="447"/>
      <c r="AC4" s="447"/>
      <c r="AD4" s="447"/>
      <c r="AE4" s="447"/>
      <c r="AF4" s="447"/>
      <c r="AG4" s="447"/>
      <c r="AH4" s="447"/>
      <c r="AI4" s="447"/>
      <c r="AJ4" s="447"/>
      <c r="AK4" s="447"/>
    </row>
    <row r="5" spans="1:37" s="453" customFormat="1" x14ac:dyDescent="0.3">
      <c r="A5" s="456" t="str">
        <f>IF(MID($L$1,3,1)="0",CONCATENATE("0",DEC2HEX(HEX2DEC(MID($L$1,3,3))+0)),DEC2HEX(HEX2DEC(MID($L$1,3,3))+0))</f>
        <v>520</v>
      </c>
      <c r="B5" s="479" t="s">
        <v>462</v>
      </c>
      <c r="C5" s="476" t="s">
        <v>476</v>
      </c>
      <c r="D5" s="476" t="s">
        <v>476</v>
      </c>
      <c r="E5" s="476" t="s">
        <v>476</v>
      </c>
      <c r="F5" s="476" t="s">
        <v>476</v>
      </c>
      <c r="G5" s="479"/>
      <c r="H5" s="477" t="s">
        <v>476</v>
      </c>
      <c r="I5" s="476" t="s">
        <v>312</v>
      </c>
      <c r="J5" s="476" t="s">
        <v>309</v>
      </c>
      <c r="K5" s="479" t="s">
        <v>463</v>
      </c>
      <c r="L5" s="480" t="s">
        <v>464</v>
      </c>
      <c r="M5" s="481" t="s">
        <v>490</v>
      </c>
      <c r="N5" s="482" t="s">
        <v>46</v>
      </c>
      <c r="O5" s="454"/>
      <c r="P5" s="455"/>
      <c r="Q5" s="455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</row>
    <row r="6" spans="1:37" s="453" customFormat="1" x14ac:dyDescent="0.3">
      <c r="A6" s="456" t="str">
        <f>IF(MID($L$1,3,1)="0",CONCATENATE("0",DEC2HEX(HEX2DEC(MID($L$1,3,3))+1)),DEC2HEX(HEX2DEC(MID($L$1,3,3))+1))</f>
        <v>521</v>
      </c>
      <c r="B6" s="483" t="s">
        <v>462</v>
      </c>
      <c r="C6" s="477" t="s">
        <v>476</v>
      </c>
      <c r="D6" s="477" t="s">
        <v>476</v>
      </c>
      <c r="E6" s="476" t="s">
        <v>476</v>
      </c>
      <c r="F6" s="477" t="s">
        <v>476</v>
      </c>
      <c r="G6" s="483"/>
      <c r="H6" s="477" t="s">
        <v>476</v>
      </c>
      <c r="I6" s="476" t="s">
        <v>313</v>
      </c>
      <c r="J6" s="477" t="s">
        <v>487</v>
      </c>
      <c r="K6" s="483" t="s">
        <v>463</v>
      </c>
      <c r="L6" s="484" t="s">
        <v>464</v>
      </c>
      <c r="M6" s="481" t="s">
        <v>14</v>
      </c>
      <c r="N6" s="485" t="s">
        <v>157</v>
      </c>
      <c r="O6" s="454"/>
      <c r="P6" s="455"/>
      <c r="Q6" s="455"/>
      <c r="R6" s="447"/>
      <c r="S6" s="447"/>
      <c r="T6" s="447"/>
      <c r="U6" s="447"/>
      <c r="V6" s="447"/>
      <c r="W6" s="447"/>
      <c r="X6" s="447"/>
      <c r="Y6" s="447"/>
      <c r="Z6" s="447"/>
      <c r="AA6" s="447"/>
      <c r="AB6" s="447"/>
      <c r="AC6" s="447"/>
      <c r="AD6" s="447"/>
      <c r="AE6" s="447"/>
      <c r="AF6" s="447"/>
      <c r="AG6" s="447"/>
      <c r="AH6" s="447"/>
      <c r="AI6" s="447"/>
      <c r="AJ6" s="447"/>
      <c r="AK6" s="447"/>
    </row>
    <row r="7" spans="1:37" s="453" customFormat="1" x14ac:dyDescent="0.3">
      <c r="A7" s="456" t="str">
        <f>IF(MID($L$1,3,1)="0",CONCATENATE("0",DEC2HEX(HEX2DEC(MID($L$1,3,3))+2)),DEC2HEX(HEX2DEC(MID($L$1,3,3))+2))</f>
        <v>522</v>
      </c>
      <c r="B7" s="483" t="s">
        <v>462</v>
      </c>
      <c r="C7" s="477" t="s">
        <v>476</v>
      </c>
      <c r="D7" s="477" t="s">
        <v>476</v>
      </c>
      <c r="E7" s="476" t="s">
        <v>476</v>
      </c>
      <c r="F7" s="477" t="s">
        <v>476</v>
      </c>
      <c r="G7" s="483"/>
      <c r="H7" s="477" t="s">
        <v>476</v>
      </c>
      <c r="I7" s="476" t="s">
        <v>310</v>
      </c>
      <c r="J7" s="477" t="s">
        <v>314</v>
      </c>
      <c r="K7" s="483" t="s">
        <v>463</v>
      </c>
      <c r="L7" s="484" t="s">
        <v>464</v>
      </c>
      <c r="M7" s="481" t="s">
        <v>496</v>
      </c>
      <c r="N7" s="485" t="s">
        <v>138</v>
      </c>
      <c r="O7" s="454"/>
      <c r="P7" s="455"/>
      <c r="Q7" s="455"/>
      <c r="R7" s="447"/>
      <c r="S7" s="447"/>
      <c r="T7" s="447"/>
      <c r="U7" s="447"/>
      <c r="V7" s="447"/>
      <c r="W7" s="447"/>
      <c r="X7" s="447"/>
      <c r="Y7" s="447"/>
      <c r="Z7" s="447"/>
      <c r="AA7" s="447"/>
      <c r="AB7" s="447"/>
      <c r="AC7" s="447"/>
      <c r="AD7" s="447"/>
      <c r="AE7" s="447"/>
      <c r="AF7" s="447"/>
      <c r="AG7" s="447"/>
      <c r="AH7" s="447"/>
      <c r="AI7" s="447"/>
      <c r="AJ7" s="447"/>
      <c r="AK7" s="447"/>
    </row>
    <row r="8" spans="1:37" s="453" customFormat="1" x14ac:dyDescent="0.3">
      <c r="A8" s="456" t="str">
        <f>IF(MID($L$1,3,1)="0",CONCATENATE("0",DEC2HEX(HEX2DEC(MID($L$1,3,3))+3)),DEC2HEX(HEX2DEC(MID($L$1,3,3))+3))</f>
        <v>523</v>
      </c>
      <c r="B8" s="483" t="s">
        <v>462</v>
      </c>
      <c r="C8" s="477" t="s">
        <v>476</v>
      </c>
      <c r="D8" s="477" t="s">
        <v>476</v>
      </c>
      <c r="E8" s="476" t="s">
        <v>476</v>
      </c>
      <c r="F8" s="477" t="s">
        <v>476</v>
      </c>
      <c r="G8" s="483"/>
      <c r="H8" s="477" t="s">
        <v>476</v>
      </c>
      <c r="I8" s="476" t="s">
        <v>488</v>
      </c>
      <c r="J8" s="477" t="s">
        <v>309</v>
      </c>
      <c r="K8" s="483" t="s">
        <v>463</v>
      </c>
      <c r="L8" s="484" t="s">
        <v>464</v>
      </c>
      <c r="M8" s="481" t="s">
        <v>517</v>
      </c>
      <c r="N8" s="485" t="s">
        <v>518</v>
      </c>
      <c r="O8" s="454"/>
      <c r="P8" s="455"/>
      <c r="Q8" s="455"/>
      <c r="R8" s="447"/>
      <c r="S8" s="447"/>
      <c r="T8" s="447"/>
      <c r="U8" s="447"/>
      <c r="V8" s="447"/>
      <c r="W8" s="447"/>
      <c r="X8" s="447"/>
      <c r="Y8" s="447"/>
      <c r="Z8" s="447"/>
      <c r="AA8" s="447"/>
      <c r="AB8" s="447"/>
      <c r="AC8" s="447"/>
      <c r="AD8" s="447"/>
      <c r="AE8" s="447"/>
      <c r="AF8" s="447"/>
      <c r="AG8" s="447"/>
      <c r="AH8" s="447"/>
      <c r="AI8" s="447"/>
      <c r="AJ8" s="447"/>
      <c r="AK8" s="447"/>
    </row>
    <row r="9" spans="1:37" s="453" customFormat="1" x14ac:dyDescent="0.3">
      <c r="A9" s="456" t="str">
        <f>IF(MID($L$1,3,1)="0",CONCATENATE("0",DEC2HEX(HEX2DEC(MID($L$1,3,3))+4)),DEC2HEX(HEX2DEC(MID($L$1,3,3))+4))</f>
        <v>524</v>
      </c>
      <c r="B9" s="483" t="s">
        <v>462</v>
      </c>
      <c r="C9" s="477" t="s">
        <v>476</v>
      </c>
      <c r="D9" s="477" t="s">
        <v>476</v>
      </c>
      <c r="E9" s="476" t="s">
        <v>476</v>
      </c>
      <c r="F9" s="477" t="s">
        <v>476</v>
      </c>
      <c r="G9" s="483"/>
      <c r="H9" s="477" t="s">
        <v>297</v>
      </c>
      <c r="I9" s="476" t="s">
        <v>315</v>
      </c>
      <c r="J9" s="477" t="s">
        <v>476</v>
      </c>
      <c r="K9" s="483" t="s">
        <v>463</v>
      </c>
      <c r="L9" s="484" t="s">
        <v>464</v>
      </c>
      <c r="M9" s="481" t="s">
        <v>6</v>
      </c>
      <c r="N9" s="485" t="s">
        <v>31</v>
      </c>
      <c r="O9" s="454"/>
      <c r="P9" s="455"/>
      <c r="Q9" s="455"/>
      <c r="R9" s="447"/>
      <c r="S9" s="447"/>
      <c r="T9" s="447"/>
      <c r="U9" s="447"/>
      <c r="V9" s="447"/>
      <c r="W9" s="447"/>
      <c r="X9" s="447"/>
      <c r="Y9" s="447"/>
      <c r="Z9" s="447"/>
      <c r="AA9" s="447"/>
      <c r="AB9" s="447"/>
      <c r="AC9" s="447"/>
      <c r="AD9" s="447"/>
      <c r="AE9" s="447"/>
      <c r="AF9" s="447"/>
      <c r="AG9" s="447"/>
      <c r="AH9" s="447"/>
      <c r="AI9" s="447"/>
      <c r="AJ9" s="447"/>
      <c r="AK9" s="447"/>
    </row>
    <row r="10" spans="1:37" s="453" customFormat="1" x14ac:dyDescent="0.3">
      <c r="A10" s="456" t="str">
        <f>IF(MID($L$1,3,1)="0",CONCATENATE("0",DEC2HEX(HEX2DEC(MID($L$1,3,3))+5)),DEC2HEX(HEX2DEC(MID($L$1,3,3))+5))</f>
        <v>525</v>
      </c>
      <c r="B10" s="483" t="s">
        <v>462</v>
      </c>
      <c r="C10" s="477" t="s">
        <v>476</v>
      </c>
      <c r="D10" s="477" t="s">
        <v>476</v>
      </c>
      <c r="E10" s="476" t="s">
        <v>476</v>
      </c>
      <c r="F10" s="477" t="s">
        <v>476</v>
      </c>
      <c r="G10" s="483"/>
      <c r="H10" s="477" t="s">
        <v>476</v>
      </c>
      <c r="I10" s="476" t="s">
        <v>618</v>
      </c>
      <c r="J10" s="477" t="s">
        <v>316</v>
      </c>
      <c r="K10" s="483" t="s">
        <v>463</v>
      </c>
      <c r="L10" s="484" t="s">
        <v>464</v>
      </c>
      <c r="M10" s="481" t="s">
        <v>492</v>
      </c>
      <c r="N10" s="485" t="s">
        <v>42</v>
      </c>
      <c r="O10" s="454"/>
      <c r="P10" s="455"/>
      <c r="Q10" s="455"/>
      <c r="R10" s="447"/>
      <c r="S10" s="447"/>
      <c r="T10" s="447"/>
      <c r="U10" s="447"/>
      <c r="V10" s="447"/>
      <c r="W10" s="447"/>
      <c r="X10" s="447"/>
      <c r="Y10" s="447"/>
      <c r="Z10" s="447"/>
      <c r="AA10" s="447"/>
      <c r="AB10" s="447"/>
      <c r="AC10" s="447"/>
      <c r="AD10" s="447"/>
      <c r="AE10" s="447"/>
      <c r="AF10" s="447"/>
      <c r="AG10" s="447"/>
      <c r="AH10" s="447"/>
      <c r="AI10" s="447"/>
      <c r="AJ10" s="447"/>
      <c r="AK10" s="447"/>
    </row>
    <row r="11" spans="1:37" s="453" customFormat="1" x14ac:dyDescent="0.3">
      <c r="A11" s="456" t="str">
        <f>IF(MID($L$1,3,1)="0",CONCATENATE("0",DEC2HEX(HEX2DEC(MID($L$1,3,3))+6)),DEC2HEX(HEX2DEC(MID($L$1,3,3))+6))</f>
        <v>526</v>
      </c>
      <c r="B11" s="483" t="s">
        <v>462</v>
      </c>
      <c r="C11" s="477" t="s">
        <v>476</v>
      </c>
      <c r="D11" s="477" t="s">
        <v>476</v>
      </c>
      <c r="E11" s="476" t="s">
        <v>476</v>
      </c>
      <c r="F11" s="477" t="s">
        <v>476</v>
      </c>
      <c r="G11" s="483"/>
      <c r="H11" s="477" t="s">
        <v>476</v>
      </c>
      <c r="I11" s="476" t="s">
        <v>306</v>
      </c>
      <c r="J11" s="477" t="s">
        <v>314</v>
      </c>
      <c r="K11" s="483" t="s">
        <v>463</v>
      </c>
      <c r="L11" s="484" t="s">
        <v>464</v>
      </c>
      <c r="M11" s="481" t="s">
        <v>494</v>
      </c>
      <c r="N11" s="485" t="s">
        <v>137</v>
      </c>
      <c r="O11" s="454"/>
      <c r="P11" s="455"/>
      <c r="Q11" s="455"/>
      <c r="R11" s="447"/>
      <c r="S11" s="447"/>
      <c r="T11" s="447"/>
      <c r="U11" s="447"/>
      <c r="V11" s="447"/>
      <c r="W11" s="447"/>
      <c r="X11" s="447"/>
      <c r="Y11" s="447"/>
      <c r="Z11" s="447"/>
      <c r="AA11" s="447"/>
      <c r="AB11" s="447"/>
      <c r="AC11" s="447"/>
      <c r="AD11" s="447"/>
      <c r="AE11" s="447"/>
      <c r="AF11" s="447"/>
      <c r="AG11" s="447"/>
      <c r="AH11" s="447"/>
      <c r="AI11" s="447"/>
      <c r="AJ11" s="447"/>
      <c r="AK11" s="447"/>
    </row>
    <row r="12" spans="1:37" s="453" customFormat="1" ht="15" thickBot="1" x14ac:dyDescent="0.35">
      <c r="A12" s="456" t="str">
        <f>IF(MID($L$1,3,1)="0",CONCATENATE("0",DEC2HEX(HEX2DEC(MID($L$1,3,3))+7)),DEC2HEX(HEX2DEC(MID($L$1,3,3))+7))</f>
        <v>527</v>
      </c>
      <c r="B12" s="483" t="s">
        <v>462</v>
      </c>
      <c r="C12" s="477" t="s">
        <v>476</v>
      </c>
      <c r="D12" s="477" t="s">
        <v>476</v>
      </c>
      <c r="E12" s="476" t="s">
        <v>476</v>
      </c>
      <c r="F12" s="477" t="s">
        <v>476</v>
      </c>
      <c r="G12" s="483"/>
      <c r="H12" s="477" t="s">
        <v>476</v>
      </c>
      <c r="I12" s="476" t="s">
        <v>476</v>
      </c>
      <c r="J12" s="477" t="s">
        <v>476</v>
      </c>
      <c r="K12" s="483" t="s">
        <v>463</v>
      </c>
      <c r="L12" s="484" t="s">
        <v>464</v>
      </c>
      <c r="M12" s="481" t="s">
        <v>7</v>
      </c>
      <c r="N12" s="486" t="s">
        <v>36</v>
      </c>
      <c r="O12" s="454"/>
      <c r="P12" s="455"/>
      <c r="Q12" s="455"/>
      <c r="R12" s="447"/>
      <c r="S12" s="447"/>
      <c r="T12" s="447"/>
      <c r="U12" s="447"/>
      <c r="V12" s="447"/>
      <c r="W12" s="447"/>
      <c r="X12" s="447"/>
      <c r="Y12" s="447"/>
      <c r="Z12" s="447"/>
      <c r="AA12" s="447"/>
      <c r="AB12" s="447"/>
      <c r="AC12" s="447"/>
      <c r="AD12" s="447"/>
      <c r="AE12" s="447"/>
      <c r="AF12" s="447"/>
      <c r="AG12" s="447"/>
      <c r="AH12" s="447"/>
      <c r="AI12" s="447"/>
      <c r="AJ12" s="447"/>
      <c r="AK12" s="447"/>
    </row>
    <row r="13" spans="1:37" ht="15" thickBot="1" x14ac:dyDescent="0.35">
      <c r="A13" s="458" t="s">
        <v>10</v>
      </c>
      <c r="B13" s="493"/>
      <c r="C13" s="494" t="s">
        <v>476</v>
      </c>
      <c r="D13" s="494"/>
      <c r="E13" s="494" t="s">
        <v>476</v>
      </c>
      <c r="F13" s="494" t="s">
        <v>476</v>
      </c>
      <c r="G13" s="493"/>
      <c r="H13" s="494" t="s">
        <v>476</v>
      </c>
      <c r="I13" s="494" t="s">
        <v>476</v>
      </c>
      <c r="J13" s="494" t="s">
        <v>476</v>
      </c>
      <c r="K13" s="493"/>
      <c r="L13" s="493"/>
      <c r="M13" s="495"/>
      <c r="N13" s="496" t="s">
        <v>11</v>
      </c>
      <c r="O13" s="454"/>
      <c r="P13" s="455"/>
      <c r="Q13" s="455"/>
      <c r="R13" s="447"/>
      <c r="S13" s="447"/>
      <c r="T13" s="447"/>
      <c r="U13" s="447"/>
      <c r="V13" s="447"/>
      <c r="W13" s="447"/>
      <c r="X13" s="447"/>
      <c r="Y13" s="447"/>
      <c r="Z13" s="447"/>
      <c r="AA13" s="447"/>
      <c r="AB13" s="447"/>
      <c r="AC13" s="447"/>
      <c r="AD13" s="447"/>
      <c r="AE13" s="447"/>
      <c r="AF13" s="447"/>
      <c r="AG13" s="447"/>
      <c r="AH13" s="447"/>
      <c r="AI13" s="447"/>
      <c r="AJ13" s="447"/>
      <c r="AK13" s="447"/>
    </row>
    <row r="14" spans="1:37" s="453" customFormat="1" x14ac:dyDescent="0.3">
      <c r="A14" s="456" t="str">
        <f>IF(MID($L$1,3,1)="0",CONCATENATE("0",DEC2HEX(HEX2DEC(MID($L$1,3,3))+8)),DEC2HEX(HEX2DEC(MID($L$1,3,3))+8))</f>
        <v>528</v>
      </c>
      <c r="B14" s="479" t="s">
        <v>462</v>
      </c>
      <c r="C14" s="476" t="s">
        <v>476</v>
      </c>
      <c r="D14" s="476" t="s">
        <v>476</v>
      </c>
      <c r="E14" s="476" t="s">
        <v>476</v>
      </c>
      <c r="F14" s="476" t="s">
        <v>476</v>
      </c>
      <c r="G14" s="479"/>
      <c r="H14" s="477" t="s">
        <v>476</v>
      </c>
      <c r="I14" s="476" t="s">
        <v>312</v>
      </c>
      <c r="J14" s="476" t="s">
        <v>309</v>
      </c>
      <c r="K14" s="479" t="s">
        <v>463</v>
      </c>
      <c r="L14" s="480" t="s">
        <v>464</v>
      </c>
      <c r="M14" s="481" t="s">
        <v>490</v>
      </c>
      <c r="N14" s="487" t="s">
        <v>46</v>
      </c>
      <c r="O14" s="454"/>
      <c r="P14" s="455"/>
      <c r="Q14" s="455"/>
      <c r="R14" s="447"/>
      <c r="S14" s="447"/>
      <c r="T14" s="447"/>
      <c r="U14" s="447"/>
      <c r="V14" s="447"/>
      <c r="W14" s="447"/>
      <c r="X14" s="447"/>
      <c r="Y14" s="447"/>
      <c r="Z14" s="447"/>
      <c r="AA14" s="447"/>
      <c r="AB14" s="447"/>
      <c r="AC14" s="447"/>
      <c r="AD14" s="447"/>
      <c r="AE14" s="447"/>
      <c r="AF14" s="447"/>
      <c r="AG14" s="447"/>
      <c r="AH14" s="447"/>
      <c r="AI14" s="447"/>
      <c r="AJ14" s="447"/>
      <c r="AK14" s="447"/>
    </row>
    <row r="15" spans="1:37" s="453" customFormat="1" x14ac:dyDescent="0.3">
      <c r="A15" s="456" t="str">
        <f>IF(MID($L$1,3,1)="0",CONCATENATE("0",DEC2HEX(HEX2DEC(MID($L$1,3,3))+9)),DEC2HEX(HEX2DEC(MID($L$1,3,3))+9))</f>
        <v>529</v>
      </c>
      <c r="B15" s="479" t="s">
        <v>462</v>
      </c>
      <c r="C15" s="477" t="s">
        <v>476</v>
      </c>
      <c r="D15" s="477" t="s">
        <v>476</v>
      </c>
      <c r="E15" s="476" t="s">
        <v>476</v>
      </c>
      <c r="F15" s="477" t="s">
        <v>476</v>
      </c>
      <c r="G15" s="483"/>
      <c r="H15" s="477" t="s">
        <v>476</v>
      </c>
      <c r="I15" s="476" t="s">
        <v>313</v>
      </c>
      <c r="J15" s="477" t="s">
        <v>487</v>
      </c>
      <c r="K15" s="483" t="s">
        <v>463</v>
      </c>
      <c r="L15" s="484" t="s">
        <v>464</v>
      </c>
      <c r="M15" s="481" t="s">
        <v>14</v>
      </c>
      <c r="N15" s="488" t="s">
        <v>113</v>
      </c>
      <c r="O15" s="454"/>
      <c r="P15" s="455"/>
      <c r="Q15" s="455"/>
      <c r="R15" s="447"/>
      <c r="S15" s="447"/>
      <c r="T15" s="447"/>
      <c r="U15" s="447"/>
      <c r="V15" s="447"/>
      <c r="W15" s="447"/>
      <c r="X15" s="447"/>
      <c r="Y15" s="447"/>
      <c r="Z15" s="447"/>
      <c r="AA15" s="447"/>
      <c r="AB15" s="447"/>
      <c r="AC15" s="447"/>
      <c r="AD15" s="447"/>
      <c r="AE15" s="447"/>
      <c r="AF15" s="447"/>
      <c r="AG15" s="447"/>
      <c r="AH15" s="447"/>
      <c r="AI15" s="447"/>
      <c r="AJ15" s="447"/>
      <c r="AK15" s="447"/>
    </row>
    <row r="16" spans="1:37" s="453" customFormat="1" x14ac:dyDescent="0.3">
      <c r="A16" s="456" t="str">
        <f>IF(MID($L$1,3,1)="0",CONCATENATE("0",DEC2HEX(HEX2DEC(MID($L$1,3,3))+10)),DEC2HEX(HEX2DEC(MID($L$1,3,3))+10))</f>
        <v>52A</v>
      </c>
      <c r="B16" s="479" t="s">
        <v>462</v>
      </c>
      <c r="C16" s="477" t="s">
        <v>476</v>
      </c>
      <c r="D16" s="477" t="s">
        <v>476</v>
      </c>
      <c r="E16" s="476" t="s">
        <v>476</v>
      </c>
      <c r="F16" s="477" t="s">
        <v>476</v>
      </c>
      <c r="G16" s="483"/>
      <c r="H16" s="477" t="s">
        <v>476</v>
      </c>
      <c r="I16" s="476" t="s">
        <v>488</v>
      </c>
      <c r="J16" s="477" t="s">
        <v>309</v>
      </c>
      <c r="K16" s="483" t="s">
        <v>463</v>
      </c>
      <c r="L16" s="484" t="s">
        <v>464</v>
      </c>
      <c r="M16" s="481" t="s">
        <v>517</v>
      </c>
      <c r="N16" s="488" t="s">
        <v>784</v>
      </c>
      <c r="O16" s="454"/>
      <c r="P16" s="455"/>
      <c r="Q16" s="455"/>
      <c r="R16" s="447"/>
      <c r="S16" s="447"/>
      <c r="T16" s="447"/>
      <c r="U16" s="447"/>
      <c r="V16" s="447"/>
      <c r="W16" s="447"/>
      <c r="X16" s="447"/>
      <c r="Y16" s="447"/>
      <c r="Z16" s="447"/>
      <c r="AA16" s="447"/>
      <c r="AB16" s="447"/>
      <c r="AC16" s="447"/>
      <c r="AD16" s="447"/>
      <c r="AE16" s="447"/>
      <c r="AF16" s="447"/>
      <c r="AG16" s="447"/>
      <c r="AH16" s="447"/>
      <c r="AI16" s="447"/>
      <c r="AJ16" s="447"/>
      <c r="AK16" s="447"/>
    </row>
    <row r="17" spans="1:37" s="453" customFormat="1" x14ac:dyDescent="0.3">
      <c r="A17" s="456" t="str">
        <f>IF(MID($L$1,3,1)="0",CONCATENATE("0",DEC2HEX(HEX2DEC(MID($L$1,3,3))+11)),DEC2HEX(HEX2DEC(MID($L$1,3,3))+11))</f>
        <v>52B</v>
      </c>
      <c r="B17" s="479" t="s">
        <v>462</v>
      </c>
      <c r="C17" s="477" t="s">
        <v>476</v>
      </c>
      <c r="D17" s="477" t="s">
        <v>476</v>
      </c>
      <c r="E17" s="476" t="s">
        <v>476</v>
      </c>
      <c r="F17" s="477" t="s">
        <v>476</v>
      </c>
      <c r="G17" s="483"/>
      <c r="H17" s="477" t="s">
        <v>297</v>
      </c>
      <c r="I17" s="476" t="s">
        <v>315</v>
      </c>
      <c r="J17" s="477" t="s">
        <v>476</v>
      </c>
      <c r="K17" s="483" t="s">
        <v>463</v>
      </c>
      <c r="L17" s="484" t="s">
        <v>464</v>
      </c>
      <c r="M17" s="481" t="s">
        <v>6</v>
      </c>
      <c r="N17" s="488" t="s">
        <v>31</v>
      </c>
      <c r="O17" s="454"/>
      <c r="P17" s="455"/>
      <c r="Q17" s="455"/>
      <c r="R17" s="447"/>
      <c r="S17" s="447"/>
      <c r="T17" s="447"/>
      <c r="U17" s="447"/>
      <c r="V17" s="447"/>
      <c r="W17" s="447"/>
      <c r="X17" s="447"/>
      <c r="Y17" s="447"/>
      <c r="Z17" s="447"/>
      <c r="AA17" s="447"/>
      <c r="AB17" s="447"/>
      <c r="AC17" s="447"/>
      <c r="AD17" s="447"/>
      <c r="AE17" s="447"/>
      <c r="AF17" s="447"/>
      <c r="AG17" s="447"/>
      <c r="AH17" s="447"/>
      <c r="AI17" s="447"/>
      <c r="AJ17" s="447"/>
      <c r="AK17" s="447"/>
    </row>
    <row r="18" spans="1:37" s="453" customFormat="1" x14ac:dyDescent="0.3">
      <c r="A18" s="456" t="str">
        <f>IF(MID($L$1,3,1)="0",CONCATENATE("0",DEC2HEX(HEX2DEC(MID($L$1,3,3))+12)),DEC2HEX(HEX2DEC(MID($L$1,3,3))+12))</f>
        <v>52C</v>
      </c>
      <c r="B18" s="479" t="s">
        <v>462</v>
      </c>
      <c r="C18" s="477" t="s">
        <v>476</v>
      </c>
      <c r="D18" s="477" t="s">
        <v>476</v>
      </c>
      <c r="E18" s="476" t="s">
        <v>476</v>
      </c>
      <c r="F18" s="477" t="s">
        <v>476</v>
      </c>
      <c r="G18" s="483"/>
      <c r="H18" s="477" t="s">
        <v>476</v>
      </c>
      <c r="I18" s="476" t="s">
        <v>618</v>
      </c>
      <c r="J18" s="477" t="s">
        <v>316</v>
      </c>
      <c r="K18" s="483" t="s">
        <v>463</v>
      </c>
      <c r="L18" s="484" t="s">
        <v>464</v>
      </c>
      <c r="M18" s="481" t="s">
        <v>492</v>
      </c>
      <c r="N18" s="488" t="s">
        <v>42</v>
      </c>
      <c r="O18" s="454"/>
      <c r="P18" s="455"/>
      <c r="Q18" s="455"/>
      <c r="R18" s="447"/>
      <c r="S18" s="447"/>
      <c r="T18" s="447"/>
      <c r="U18" s="447"/>
      <c r="V18" s="447"/>
      <c r="W18" s="447"/>
      <c r="X18" s="447"/>
      <c r="Y18" s="447"/>
      <c r="Z18" s="447"/>
      <c r="AA18" s="447"/>
      <c r="AB18" s="447"/>
      <c r="AC18" s="447"/>
      <c r="AD18" s="447"/>
      <c r="AE18" s="447"/>
      <c r="AF18" s="447"/>
      <c r="AG18" s="447"/>
      <c r="AH18" s="447"/>
      <c r="AI18" s="447"/>
      <c r="AJ18" s="447"/>
      <c r="AK18" s="447"/>
    </row>
    <row r="19" spans="1:37" s="453" customFormat="1" x14ac:dyDescent="0.3">
      <c r="A19" s="456" t="str">
        <f>IF(MID($L$1,3,1)="0",CONCATENATE("0",DEC2HEX(HEX2DEC(MID($L$1,3,3))+13)),DEC2HEX(HEX2DEC(MID($L$1,3,3))+13))</f>
        <v>52D</v>
      </c>
      <c r="B19" s="479" t="s">
        <v>462</v>
      </c>
      <c r="C19" s="477" t="s">
        <v>476</v>
      </c>
      <c r="D19" s="477" t="s">
        <v>476</v>
      </c>
      <c r="E19" s="476" t="s">
        <v>476</v>
      </c>
      <c r="F19" s="477" t="s">
        <v>476</v>
      </c>
      <c r="G19" s="483"/>
      <c r="H19" s="477" t="s">
        <v>476</v>
      </c>
      <c r="I19" s="476" t="s">
        <v>489</v>
      </c>
      <c r="J19" s="477" t="s">
        <v>308</v>
      </c>
      <c r="K19" s="483" t="s">
        <v>463</v>
      </c>
      <c r="L19" s="484" t="s">
        <v>464</v>
      </c>
      <c r="M19" s="481" t="s">
        <v>521</v>
      </c>
      <c r="N19" s="488" t="s">
        <v>165</v>
      </c>
      <c r="O19" s="454"/>
      <c r="P19" s="455"/>
      <c r="Q19" s="455"/>
      <c r="R19" s="447"/>
      <c r="S19" s="447"/>
      <c r="T19" s="447"/>
      <c r="U19" s="447"/>
      <c r="V19" s="447"/>
      <c r="W19" s="447"/>
      <c r="X19" s="447"/>
      <c r="Y19" s="447"/>
      <c r="Z19" s="447"/>
      <c r="AA19" s="447"/>
      <c r="AB19" s="447"/>
      <c r="AC19" s="447"/>
      <c r="AD19" s="447"/>
      <c r="AE19" s="447"/>
      <c r="AF19" s="447"/>
      <c r="AG19" s="447"/>
      <c r="AH19" s="447"/>
      <c r="AI19" s="447"/>
      <c r="AJ19" s="447"/>
      <c r="AK19" s="447"/>
    </row>
    <row r="20" spans="1:37" s="453" customFormat="1" x14ac:dyDescent="0.3">
      <c r="A20" s="456" t="str">
        <f>IF(MID($L$1,3,1)="0",CONCATENATE("0",DEC2HEX(HEX2DEC(MID($L$1,3,3))+14)),DEC2HEX(HEX2DEC(MID($L$1,3,3))+14))</f>
        <v>52E</v>
      </c>
      <c r="B20" s="479" t="s">
        <v>462</v>
      </c>
      <c r="C20" s="477" t="s">
        <v>476</v>
      </c>
      <c r="D20" s="477" t="s">
        <v>548</v>
      </c>
      <c r="E20" s="476" t="s">
        <v>141</v>
      </c>
      <c r="F20" s="477" t="s">
        <v>476</v>
      </c>
      <c r="G20" s="483"/>
      <c r="H20" s="477" t="s">
        <v>476</v>
      </c>
      <c r="I20" s="476" t="s">
        <v>488</v>
      </c>
      <c r="J20" s="477" t="s">
        <v>476</v>
      </c>
      <c r="K20" s="483" t="s">
        <v>463</v>
      </c>
      <c r="L20" s="484" t="s">
        <v>464</v>
      </c>
      <c r="M20" s="481" t="s">
        <v>523</v>
      </c>
      <c r="N20" s="488" t="s">
        <v>795</v>
      </c>
      <c r="O20" s="454"/>
      <c r="P20" s="455"/>
      <c r="Q20" s="455"/>
      <c r="R20" s="447"/>
      <c r="S20" s="447"/>
      <c r="T20" s="447"/>
      <c r="U20" s="447"/>
      <c r="V20" s="447"/>
      <c r="W20" s="447"/>
      <c r="X20" s="447"/>
      <c r="Y20" s="447"/>
      <c r="Z20" s="447"/>
      <c r="AA20" s="447"/>
      <c r="AB20" s="447"/>
      <c r="AC20" s="447"/>
      <c r="AD20" s="447"/>
      <c r="AE20" s="447"/>
      <c r="AF20" s="447"/>
      <c r="AG20" s="447"/>
      <c r="AH20" s="447"/>
      <c r="AI20" s="447"/>
      <c r="AJ20" s="447"/>
      <c r="AK20" s="447"/>
    </row>
    <row r="21" spans="1:37" s="453" customFormat="1" ht="15" thickBot="1" x14ac:dyDescent="0.35">
      <c r="A21" s="456" t="str">
        <f>IF(MID($L$1,3,1)="0",CONCATENATE("0",DEC2HEX(HEX2DEC(MID($L$1,3,3))+15)),DEC2HEX(HEX2DEC(MID($L$1,3,3))+15))</f>
        <v>52F</v>
      </c>
      <c r="B21" s="479" t="s">
        <v>462</v>
      </c>
      <c r="C21" s="477" t="s">
        <v>476</v>
      </c>
      <c r="D21" s="477" t="s">
        <v>476</v>
      </c>
      <c r="E21" s="476" t="s">
        <v>476</v>
      </c>
      <c r="F21" s="477" t="s">
        <v>476</v>
      </c>
      <c r="G21" s="483"/>
      <c r="H21" s="477" t="s">
        <v>301</v>
      </c>
      <c r="I21" s="476" t="s">
        <v>315</v>
      </c>
      <c r="J21" s="477" t="s">
        <v>476</v>
      </c>
      <c r="K21" s="483" t="s">
        <v>463</v>
      </c>
      <c r="L21" s="484" t="s">
        <v>464</v>
      </c>
      <c r="M21" s="481" t="s">
        <v>26</v>
      </c>
      <c r="N21" s="489" t="s">
        <v>139</v>
      </c>
      <c r="O21" s="454"/>
      <c r="P21" s="455"/>
      <c r="Q21" s="455"/>
      <c r="R21" s="447"/>
      <c r="S21" s="447"/>
      <c r="T21" s="447"/>
      <c r="U21" s="447"/>
      <c r="V21" s="447"/>
      <c r="W21" s="447"/>
      <c r="X21" s="447"/>
      <c r="Y21" s="447"/>
      <c r="Z21" s="447"/>
      <c r="AA21" s="447"/>
      <c r="AB21" s="447"/>
      <c r="AC21" s="447"/>
      <c r="AD21" s="447"/>
      <c r="AE21" s="447"/>
      <c r="AF21" s="447"/>
      <c r="AG21" s="447"/>
      <c r="AH21" s="447"/>
      <c r="AI21" s="447"/>
      <c r="AJ21" s="447"/>
      <c r="AK21" s="447"/>
    </row>
    <row r="22" spans="1:37" ht="15" thickBot="1" x14ac:dyDescent="0.35">
      <c r="A22" s="458" t="s">
        <v>12</v>
      </c>
      <c r="B22" s="493"/>
      <c r="C22" s="494" t="s">
        <v>476</v>
      </c>
      <c r="D22" s="494"/>
      <c r="E22" s="494" t="s">
        <v>476</v>
      </c>
      <c r="F22" s="494" t="s">
        <v>476</v>
      </c>
      <c r="G22" s="493"/>
      <c r="H22" s="494" t="s">
        <v>476</v>
      </c>
      <c r="I22" s="494" t="s">
        <v>476</v>
      </c>
      <c r="J22" s="494" t="s">
        <v>476</v>
      </c>
      <c r="K22" s="493"/>
      <c r="L22" s="493"/>
      <c r="M22" s="495"/>
      <c r="N22" s="496" t="s">
        <v>13</v>
      </c>
      <c r="O22" s="454"/>
      <c r="P22" s="455"/>
      <c r="Q22" s="455"/>
      <c r="R22" s="447"/>
      <c r="S22" s="447"/>
      <c r="T22" s="447"/>
      <c r="U22" s="447"/>
      <c r="V22" s="447"/>
      <c r="W22" s="447"/>
      <c r="X22" s="447"/>
      <c r="Y22" s="447"/>
      <c r="Z22" s="447"/>
      <c r="AA22" s="447"/>
      <c r="AB22" s="447"/>
      <c r="AC22" s="447"/>
      <c r="AD22" s="447"/>
      <c r="AE22" s="447"/>
      <c r="AF22" s="447"/>
      <c r="AG22" s="447"/>
      <c r="AH22" s="447"/>
      <c r="AI22" s="447"/>
      <c r="AJ22" s="447"/>
      <c r="AK22" s="447"/>
    </row>
    <row r="23" spans="1:37" s="453" customFormat="1" x14ac:dyDescent="0.3">
      <c r="A23" s="456" t="str">
        <f>IF(MID($L$1,3,1)="0",CONCATENATE("0",DEC2HEX(HEX2DEC(MID($L$1,3,3))+16)),DEC2HEX(HEX2DEC(MID($L$1,3,3))+16))</f>
        <v>530</v>
      </c>
      <c r="B23" s="479" t="s">
        <v>462</v>
      </c>
      <c r="C23" s="476" t="s">
        <v>476</v>
      </c>
      <c r="D23" s="476" t="s">
        <v>476</v>
      </c>
      <c r="E23" s="476" t="s">
        <v>476</v>
      </c>
      <c r="F23" s="476" t="s">
        <v>476</v>
      </c>
      <c r="G23" s="479"/>
      <c r="H23" s="477" t="s">
        <v>476</v>
      </c>
      <c r="I23" s="476" t="s">
        <v>306</v>
      </c>
      <c r="J23" s="476" t="s">
        <v>314</v>
      </c>
      <c r="K23" s="479" t="s">
        <v>463</v>
      </c>
      <c r="L23" s="480" t="s">
        <v>464</v>
      </c>
      <c r="M23" s="481" t="s">
        <v>494</v>
      </c>
      <c r="N23" s="487" t="s">
        <v>136</v>
      </c>
      <c r="O23" s="454"/>
      <c r="P23" s="455"/>
      <c r="Q23" s="455"/>
      <c r="R23" s="447"/>
      <c r="S23" s="447"/>
      <c r="T23" s="447"/>
      <c r="U23" s="447"/>
      <c r="V23" s="447"/>
      <c r="W23" s="447"/>
      <c r="X23" s="447"/>
      <c r="Y23" s="447"/>
      <c r="Z23" s="447"/>
      <c r="AA23" s="447"/>
      <c r="AB23" s="447"/>
      <c r="AC23" s="447"/>
      <c r="AD23" s="447"/>
      <c r="AE23" s="447"/>
      <c r="AF23" s="447"/>
      <c r="AG23" s="447"/>
      <c r="AH23" s="447"/>
      <c r="AI23" s="447"/>
      <c r="AJ23" s="447"/>
      <c r="AK23" s="447"/>
    </row>
    <row r="24" spans="1:37" s="453" customFormat="1" x14ac:dyDescent="0.3">
      <c r="A24" s="456" t="str">
        <f>IF(MID($L$1,3,1)="0",CONCATENATE("0",DEC2HEX(HEX2DEC(MID($L$1,3,3))+17)),DEC2HEX(HEX2DEC(MID($L$1,3,3))+17))</f>
        <v>531</v>
      </c>
      <c r="B24" s="479" t="s">
        <v>462</v>
      </c>
      <c r="C24" s="477" t="s">
        <v>476</v>
      </c>
      <c r="D24" s="477" t="s">
        <v>476</v>
      </c>
      <c r="E24" s="476" t="s">
        <v>476</v>
      </c>
      <c r="F24" s="477" t="s">
        <v>476</v>
      </c>
      <c r="G24" s="483"/>
      <c r="H24" s="477" t="s">
        <v>476</v>
      </c>
      <c r="I24" s="476" t="s">
        <v>312</v>
      </c>
      <c r="J24" s="477" t="s">
        <v>308</v>
      </c>
      <c r="K24" s="483" t="s">
        <v>463</v>
      </c>
      <c r="L24" s="484" t="s">
        <v>464</v>
      </c>
      <c r="M24" s="481" t="s">
        <v>499</v>
      </c>
      <c r="N24" s="488" t="s">
        <v>796</v>
      </c>
      <c r="O24" s="454"/>
      <c r="P24" s="455"/>
      <c r="Q24" s="455"/>
      <c r="R24" s="447"/>
      <c r="S24" s="447"/>
      <c r="T24" s="447"/>
      <c r="U24" s="447"/>
      <c r="V24" s="447"/>
      <c r="W24" s="447"/>
      <c r="X24" s="447"/>
      <c r="Y24" s="447"/>
      <c r="Z24" s="447"/>
      <c r="AA24" s="447"/>
      <c r="AB24" s="447"/>
      <c r="AC24" s="447"/>
      <c r="AD24" s="447"/>
      <c r="AE24" s="447"/>
      <c r="AF24" s="447"/>
      <c r="AG24" s="447"/>
      <c r="AH24" s="447"/>
      <c r="AI24" s="447"/>
      <c r="AJ24" s="447"/>
      <c r="AK24" s="447"/>
    </row>
    <row r="25" spans="1:37" s="453" customFormat="1" x14ac:dyDescent="0.3">
      <c r="A25" s="456" t="str">
        <f>IF(MID($L$1,3,1)="0",CONCATENATE("0",DEC2HEX(HEX2DEC(MID($L$1,3,3))+18)),DEC2HEX(HEX2DEC(MID($L$1,3,3))+18))</f>
        <v>532</v>
      </c>
      <c r="B25" s="479" t="s">
        <v>462</v>
      </c>
      <c r="C25" s="477" t="s">
        <v>476</v>
      </c>
      <c r="D25" s="477" t="s">
        <v>476</v>
      </c>
      <c r="E25" s="476" t="s">
        <v>476</v>
      </c>
      <c r="F25" s="477" t="s">
        <v>476</v>
      </c>
      <c r="G25" s="483"/>
      <c r="H25" s="477" t="s">
        <v>476</v>
      </c>
      <c r="I25" s="476" t="s">
        <v>307</v>
      </c>
      <c r="J25" s="477" t="s">
        <v>316</v>
      </c>
      <c r="K25" s="483" t="s">
        <v>463</v>
      </c>
      <c r="L25" s="484" t="s">
        <v>464</v>
      </c>
      <c r="M25" s="481" t="s">
        <v>495</v>
      </c>
      <c r="N25" s="488" t="s">
        <v>797</v>
      </c>
      <c r="O25" s="454"/>
      <c r="P25" s="455"/>
      <c r="Q25" s="455"/>
      <c r="R25" s="447"/>
      <c r="S25" s="447"/>
      <c r="T25" s="447"/>
      <c r="U25" s="447"/>
      <c r="V25" s="447"/>
      <c r="W25" s="447"/>
      <c r="X25" s="447"/>
      <c r="Y25" s="447"/>
      <c r="Z25" s="447"/>
      <c r="AA25" s="447"/>
      <c r="AB25" s="447"/>
      <c r="AC25" s="447"/>
      <c r="AD25" s="447"/>
      <c r="AE25" s="447"/>
      <c r="AF25" s="447"/>
      <c r="AG25" s="447"/>
      <c r="AH25" s="447"/>
      <c r="AI25" s="447"/>
      <c r="AJ25" s="447"/>
      <c r="AK25" s="447"/>
    </row>
    <row r="26" spans="1:37" s="453" customFormat="1" x14ac:dyDescent="0.3">
      <c r="A26" s="456" t="str">
        <f>IF(MID($L$1,3,1)="0",CONCATENATE("0",DEC2HEX(HEX2DEC(MID($L$1,3,3))+19)),DEC2HEX(HEX2DEC(MID($L$1,3,3))+19))</f>
        <v>533</v>
      </c>
      <c r="B26" s="479" t="s">
        <v>462</v>
      </c>
      <c r="C26" s="477" t="s">
        <v>476</v>
      </c>
      <c r="D26" s="477" t="s">
        <v>476</v>
      </c>
      <c r="E26" s="476" t="s">
        <v>476</v>
      </c>
      <c r="F26" s="477"/>
      <c r="G26" s="483"/>
      <c r="H26" s="477"/>
      <c r="I26" s="476" t="s">
        <v>306</v>
      </c>
      <c r="J26" s="477" t="s">
        <v>311</v>
      </c>
      <c r="K26" s="483" t="s">
        <v>463</v>
      </c>
      <c r="L26" s="484" t="s">
        <v>464</v>
      </c>
      <c r="M26" s="481" t="s">
        <v>497</v>
      </c>
      <c r="N26" s="488" t="s">
        <v>137</v>
      </c>
      <c r="O26" s="454"/>
      <c r="P26" s="455"/>
      <c r="Q26" s="455"/>
      <c r="R26" s="447"/>
      <c r="S26" s="447"/>
      <c r="T26" s="447"/>
      <c r="U26" s="447"/>
      <c r="V26" s="447"/>
      <c r="W26" s="447"/>
      <c r="X26" s="447"/>
      <c r="Y26" s="447"/>
      <c r="Z26" s="447"/>
      <c r="AA26" s="447"/>
      <c r="AB26" s="447"/>
      <c r="AC26" s="447"/>
      <c r="AD26" s="447"/>
      <c r="AE26" s="447"/>
      <c r="AF26" s="447"/>
      <c r="AG26" s="447"/>
      <c r="AH26" s="447"/>
      <c r="AI26" s="447"/>
      <c r="AJ26" s="447"/>
      <c r="AK26" s="447"/>
    </row>
    <row r="27" spans="1:37" s="453" customFormat="1" x14ac:dyDescent="0.3">
      <c r="A27" s="456" t="str">
        <f>IF(MID($L$1,3,1)="0",CONCATENATE("0",DEC2HEX(HEX2DEC(MID($L$1,3,3))+20)),DEC2HEX(HEX2DEC(MID($L$1,3,3))+20))</f>
        <v>534</v>
      </c>
      <c r="B27" s="479" t="s">
        <v>462</v>
      </c>
      <c r="C27" s="477" t="s">
        <v>476</v>
      </c>
      <c r="D27" s="477" t="s">
        <v>476</v>
      </c>
      <c r="E27" s="476" t="s">
        <v>476</v>
      </c>
      <c r="F27" s="477" t="s">
        <v>476</v>
      </c>
      <c r="G27" s="483"/>
      <c r="H27" s="477" t="s">
        <v>476</v>
      </c>
      <c r="I27" s="476" t="s">
        <v>307</v>
      </c>
      <c r="J27" s="477" t="s">
        <v>693</v>
      </c>
      <c r="K27" s="483" t="s">
        <v>463</v>
      </c>
      <c r="L27" s="484" t="s">
        <v>464</v>
      </c>
      <c r="M27" s="481" t="s">
        <v>798</v>
      </c>
      <c r="N27" s="488" t="s">
        <v>140</v>
      </c>
      <c r="O27" s="454"/>
      <c r="P27" s="455"/>
      <c r="Q27" s="455"/>
      <c r="R27" s="447"/>
      <c r="S27" s="447"/>
      <c r="T27" s="447"/>
      <c r="U27" s="447"/>
      <c r="V27" s="447"/>
      <c r="W27" s="447"/>
      <c r="X27" s="447"/>
      <c r="Y27" s="447"/>
      <c r="Z27" s="447"/>
      <c r="AA27" s="447"/>
      <c r="AB27" s="447"/>
      <c r="AC27" s="447"/>
      <c r="AD27" s="447"/>
      <c r="AE27" s="447"/>
      <c r="AF27" s="447"/>
      <c r="AG27" s="447"/>
      <c r="AH27" s="447"/>
      <c r="AI27" s="447"/>
      <c r="AJ27" s="447"/>
      <c r="AK27" s="447"/>
    </row>
    <row r="28" spans="1:37" s="453" customFormat="1" x14ac:dyDescent="0.3">
      <c r="A28" s="456" t="str">
        <f>IF(MID($L$1,3,1)="0",CONCATENATE("0",DEC2HEX(HEX2DEC(MID($L$1,3,3))+21)),DEC2HEX(HEX2DEC(MID($L$1,3,3))+21))</f>
        <v>535</v>
      </c>
      <c r="B28" s="479" t="s">
        <v>462</v>
      </c>
      <c r="C28" s="477" t="s">
        <v>476</v>
      </c>
      <c r="D28" s="477" t="s">
        <v>476</v>
      </c>
      <c r="E28" s="476" t="s">
        <v>476</v>
      </c>
      <c r="F28" s="477" t="s">
        <v>476</v>
      </c>
      <c r="G28" s="483"/>
      <c r="H28" s="477" t="s">
        <v>476</v>
      </c>
      <c r="I28" s="476"/>
      <c r="J28" s="477"/>
      <c r="K28" s="483" t="s">
        <v>463</v>
      </c>
      <c r="L28" s="484" t="s">
        <v>464</v>
      </c>
      <c r="M28" s="481" t="s">
        <v>7</v>
      </c>
      <c r="N28" s="488" t="s">
        <v>36</v>
      </c>
      <c r="O28" s="454"/>
      <c r="P28" s="455"/>
      <c r="Q28" s="455"/>
      <c r="R28" s="447"/>
      <c r="S28" s="447"/>
      <c r="T28" s="447"/>
      <c r="U28" s="447"/>
      <c r="V28" s="447"/>
      <c r="W28" s="447"/>
      <c r="X28" s="447"/>
      <c r="Y28" s="447"/>
      <c r="Z28" s="447"/>
      <c r="AA28" s="447"/>
      <c r="AB28" s="447"/>
      <c r="AC28" s="447"/>
      <c r="AD28" s="447"/>
      <c r="AE28" s="447"/>
      <c r="AF28" s="447"/>
      <c r="AG28" s="447"/>
      <c r="AH28" s="447"/>
      <c r="AI28" s="447"/>
      <c r="AJ28" s="447"/>
      <c r="AK28" s="447"/>
    </row>
    <row r="29" spans="1:37" s="453" customFormat="1" x14ac:dyDescent="0.3">
      <c r="A29" s="456" t="str">
        <f>IF(MID($L$1,3,1)="0",CONCATENATE("0",DEC2HEX(HEX2DEC(MID($L$1,3,3))+22)),DEC2HEX(HEX2DEC(MID($L$1,3,3))+22))</f>
        <v>536</v>
      </c>
      <c r="B29" s="479" t="s">
        <v>462</v>
      </c>
      <c r="C29" s="477" t="s">
        <v>476</v>
      </c>
      <c r="D29" s="477" t="s">
        <v>476</v>
      </c>
      <c r="E29" s="476" t="s">
        <v>476</v>
      </c>
      <c r="F29" s="477" t="s">
        <v>476</v>
      </c>
      <c r="G29" s="483"/>
      <c r="H29" s="477" t="s">
        <v>476</v>
      </c>
      <c r="I29" s="476" t="s">
        <v>476</v>
      </c>
      <c r="J29" s="477" t="s">
        <v>476</v>
      </c>
      <c r="K29" s="483" t="s">
        <v>463</v>
      </c>
      <c r="L29" s="484" t="s">
        <v>464</v>
      </c>
      <c r="M29" s="481" t="s">
        <v>7</v>
      </c>
      <c r="N29" s="488" t="s">
        <v>36</v>
      </c>
      <c r="O29" s="454"/>
      <c r="P29" s="455"/>
      <c r="Q29" s="455"/>
      <c r="R29" s="447"/>
      <c r="S29" s="447"/>
      <c r="T29" s="447"/>
      <c r="U29" s="447"/>
      <c r="V29" s="447"/>
      <c r="W29" s="447"/>
      <c r="X29" s="447"/>
      <c r="Y29" s="447"/>
      <c r="Z29" s="447"/>
      <c r="AA29" s="447"/>
      <c r="AB29" s="447"/>
      <c r="AC29" s="447"/>
      <c r="AD29" s="447"/>
      <c r="AE29" s="447"/>
      <c r="AF29" s="447"/>
      <c r="AG29" s="447"/>
      <c r="AH29" s="447"/>
      <c r="AI29" s="447"/>
      <c r="AJ29" s="447"/>
      <c r="AK29" s="447"/>
    </row>
    <row r="30" spans="1:37" s="453" customFormat="1" ht="15" thickBot="1" x14ac:dyDescent="0.35">
      <c r="A30" s="457" t="str">
        <f>IF(MID($L$1,3,1)="0",CONCATENATE("0",DEC2HEX(HEX2DEC(MID($L$1,3,3))+23)),DEC2HEX(HEX2DEC(MID($L$1,3,3))+23))</f>
        <v>537</v>
      </c>
      <c r="B30" s="490" t="s">
        <v>35</v>
      </c>
      <c r="C30" s="478" t="s">
        <v>476</v>
      </c>
      <c r="D30" s="478" t="s">
        <v>476</v>
      </c>
      <c r="E30" s="478" t="s">
        <v>476</v>
      </c>
      <c r="F30" s="478" t="s">
        <v>476</v>
      </c>
      <c r="G30" s="490"/>
      <c r="H30" s="478" t="s">
        <v>476</v>
      </c>
      <c r="I30" s="478" t="s">
        <v>476</v>
      </c>
      <c r="J30" s="478" t="s">
        <v>476</v>
      </c>
      <c r="K30" s="490" t="s">
        <v>463</v>
      </c>
      <c r="L30" s="491" t="s">
        <v>464</v>
      </c>
      <c r="M30" s="497" t="s">
        <v>794</v>
      </c>
      <c r="N30" s="492" t="s">
        <v>40</v>
      </c>
      <c r="O30" s="454"/>
      <c r="P30" s="455"/>
      <c r="Q30" s="455"/>
      <c r="R30" s="447"/>
      <c r="S30" s="447"/>
      <c r="T30" s="447"/>
      <c r="U30" s="447"/>
      <c r="V30" s="447"/>
      <c r="W30" s="447"/>
      <c r="X30" s="447"/>
      <c r="Y30" s="447"/>
      <c r="Z30" s="447"/>
      <c r="AA30" s="447"/>
      <c r="AB30" s="447"/>
      <c r="AC30" s="447"/>
      <c r="AD30" s="447"/>
      <c r="AE30" s="447"/>
      <c r="AF30" s="447"/>
      <c r="AG30" s="447"/>
      <c r="AH30" s="447"/>
      <c r="AI30" s="447"/>
      <c r="AJ30" s="447"/>
      <c r="AK30" s="447"/>
    </row>
    <row r="31" spans="1:37" ht="15" thickTop="1" x14ac:dyDescent="0.3">
      <c r="A31" s="449"/>
      <c r="B31" s="449"/>
      <c r="C31" s="449"/>
      <c r="D31" s="449"/>
      <c r="E31" s="449"/>
      <c r="F31" s="449"/>
      <c r="G31" s="449"/>
      <c r="H31" s="449"/>
      <c r="I31" s="449"/>
      <c r="J31" s="449"/>
      <c r="K31" s="449"/>
      <c r="L31" s="449"/>
      <c r="M31" s="451"/>
      <c r="N31" s="452"/>
      <c r="U31" s="447"/>
      <c r="V31" s="447"/>
      <c r="W31" s="447"/>
      <c r="X31" s="447"/>
      <c r="Y31" s="447"/>
      <c r="Z31" s="447"/>
      <c r="AA31" s="447"/>
      <c r="AB31" s="447"/>
      <c r="AC31" s="447"/>
      <c r="AD31" s="447"/>
      <c r="AE31" s="447"/>
      <c r="AF31" s="447"/>
      <c r="AG31" s="447"/>
      <c r="AH31" s="447"/>
      <c r="AI31" s="447"/>
      <c r="AJ31" s="447"/>
      <c r="AK31" s="447"/>
    </row>
    <row r="32" spans="1:37" x14ac:dyDescent="0.3">
      <c r="A32" s="449"/>
      <c r="B32" s="449"/>
      <c r="C32" s="449"/>
      <c r="D32" s="449"/>
      <c r="E32" s="449"/>
      <c r="F32" s="449"/>
      <c r="G32" s="449"/>
      <c r="H32" s="449"/>
      <c r="I32" s="449"/>
      <c r="J32" s="449"/>
      <c r="K32" s="449"/>
      <c r="L32" s="449"/>
      <c r="U32" s="447"/>
      <c r="V32" s="447"/>
      <c r="W32" s="447"/>
      <c r="X32" s="447"/>
      <c r="Y32" s="447"/>
      <c r="Z32" s="447"/>
      <c r="AA32" s="447"/>
      <c r="AB32" s="447"/>
      <c r="AC32" s="447"/>
      <c r="AD32" s="447"/>
      <c r="AE32" s="447"/>
      <c r="AF32" s="447"/>
      <c r="AG32" s="447"/>
      <c r="AH32" s="447"/>
      <c r="AI32" s="447"/>
      <c r="AJ32" s="447"/>
      <c r="AK32" s="447"/>
    </row>
    <row r="33" spans="1:37" x14ac:dyDescent="0.3">
      <c r="A33" s="449"/>
      <c r="B33" s="449"/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U33" s="447"/>
      <c r="V33" s="447"/>
      <c r="W33" s="447"/>
      <c r="X33" s="447"/>
      <c r="Y33" s="447"/>
      <c r="Z33" s="447"/>
      <c r="AA33" s="447"/>
      <c r="AB33" s="447"/>
      <c r="AC33" s="447"/>
      <c r="AD33" s="447"/>
      <c r="AE33" s="447"/>
      <c r="AF33" s="447"/>
      <c r="AG33" s="447"/>
      <c r="AH33" s="447"/>
      <c r="AI33" s="447"/>
      <c r="AJ33" s="447"/>
      <c r="AK33" s="447"/>
    </row>
    <row r="34" spans="1:37" x14ac:dyDescent="0.3">
      <c r="A34" s="449"/>
      <c r="B34" s="449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U34" s="447"/>
      <c r="V34" s="447"/>
      <c r="W34" s="447"/>
      <c r="X34" s="447"/>
      <c r="Y34" s="447"/>
      <c r="Z34" s="447"/>
      <c r="AA34" s="447"/>
      <c r="AB34" s="447"/>
      <c r="AC34" s="447"/>
      <c r="AD34" s="447"/>
      <c r="AE34" s="447"/>
      <c r="AF34" s="447"/>
      <c r="AG34" s="447"/>
      <c r="AH34" s="447"/>
      <c r="AI34" s="447"/>
      <c r="AJ34" s="447"/>
      <c r="AK34" s="447"/>
    </row>
    <row r="35" spans="1:37" x14ac:dyDescent="0.3">
      <c r="A35" s="449"/>
      <c r="B35" s="449"/>
      <c r="C35" s="449"/>
      <c r="D35" s="449"/>
      <c r="E35" s="449"/>
      <c r="F35" s="449"/>
      <c r="G35" s="449"/>
      <c r="H35" s="449"/>
      <c r="I35" s="449"/>
      <c r="J35" s="449"/>
      <c r="K35" s="449"/>
      <c r="L35" s="449"/>
      <c r="U35" s="447"/>
      <c r="V35" s="447"/>
      <c r="W35" s="447"/>
      <c r="X35" s="447"/>
      <c r="Y35" s="447"/>
      <c r="Z35" s="447"/>
      <c r="AA35" s="447"/>
      <c r="AB35" s="447"/>
      <c r="AC35" s="447"/>
      <c r="AD35" s="447"/>
      <c r="AE35" s="447"/>
      <c r="AF35" s="447"/>
      <c r="AG35" s="447"/>
      <c r="AH35" s="447"/>
      <c r="AI35" s="447"/>
      <c r="AJ35" s="447"/>
      <c r="AK35" s="447"/>
    </row>
    <row r="36" spans="1:37" x14ac:dyDescent="0.3">
      <c r="A36" s="449"/>
      <c r="B36" s="449"/>
      <c r="C36" s="449"/>
      <c r="D36" s="449"/>
      <c r="E36" s="449"/>
      <c r="F36" s="449"/>
      <c r="G36" s="449"/>
      <c r="H36" s="449"/>
      <c r="I36" s="449"/>
      <c r="J36" s="449"/>
      <c r="K36" s="449"/>
      <c r="L36" s="449"/>
      <c r="U36" s="447"/>
      <c r="V36" s="447"/>
      <c r="W36" s="447"/>
      <c r="X36" s="447"/>
      <c r="Y36" s="447"/>
      <c r="Z36" s="447"/>
      <c r="AA36" s="447"/>
      <c r="AB36" s="447"/>
      <c r="AC36" s="447"/>
      <c r="AD36" s="447"/>
      <c r="AE36" s="447"/>
      <c r="AF36" s="447"/>
      <c r="AG36" s="447"/>
      <c r="AH36" s="447"/>
      <c r="AI36" s="447"/>
      <c r="AJ36" s="447"/>
      <c r="AK36" s="447"/>
    </row>
    <row r="37" spans="1:37" x14ac:dyDescent="0.3">
      <c r="A37" s="449"/>
      <c r="B37" s="449"/>
      <c r="C37" s="449"/>
      <c r="D37" s="449"/>
      <c r="E37" s="449"/>
      <c r="F37" s="449"/>
      <c r="G37" s="449"/>
      <c r="H37" s="449"/>
      <c r="I37" s="449"/>
      <c r="J37" s="449"/>
      <c r="K37" s="449"/>
      <c r="L37" s="449"/>
      <c r="U37" s="447"/>
      <c r="V37" s="447"/>
      <c r="W37" s="447"/>
      <c r="X37" s="447"/>
      <c r="Y37" s="447"/>
      <c r="Z37" s="447"/>
      <c r="AA37" s="447"/>
      <c r="AB37" s="447"/>
      <c r="AC37" s="447"/>
      <c r="AD37" s="447"/>
      <c r="AE37" s="447"/>
      <c r="AF37" s="447"/>
      <c r="AG37" s="447"/>
      <c r="AH37" s="447"/>
      <c r="AI37" s="447"/>
      <c r="AJ37" s="447"/>
      <c r="AK37" s="447"/>
    </row>
    <row r="38" spans="1:37" x14ac:dyDescent="0.3">
      <c r="A38" s="449"/>
      <c r="B38" s="449"/>
      <c r="C38" s="449"/>
      <c r="D38" s="449"/>
      <c r="E38" s="449"/>
      <c r="F38" s="449"/>
      <c r="G38" s="449"/>
      <c r="H38" s="449"/>
      <c r="I38" s="449"/>
      <c r="J38" s="449"/>
      <c r="K38" s="449"/>
      <c r="L38" s="449"/>
      <c r="U38" s="447"/>
      <c r="V38" s="447"/>
      <c r="W38" s="447"/>
      <c r="X38" s="447"/>
      <c r="Y38" s="447"/>
      <c r="Z38" s="447"/>
      <c r="AA38" s="447"/>
      <c r="AB38" s="447"/>
      <c r="AC38" s="447"/>
      <c r="AD38" s="447"/>
      <c r="AE38" s="447"/>
      <c r="AF38" s="447"/>
      <c r="AG38" s="447"/>
      <c r="AH38" s="447"/>
      <c r="AI38" s="447"/>
      <c r="AJ38" s="447"/>
      <c r="AK38" s="447"/>
    </row>
    <row r="39" spans="1:37" x14ac:dyDescent="0.3">
      <c r="A39" s="449"/>
      <c r="B39" s="449"/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U39" s="447"/>
      <c r="V39" s="447"/>
      <c r="W39" s="447"/>
      <c r="X39" s="447"/>
      <c r="Y39" s="447"/>
      <c r="Z39" s="447"/>
      <c r="AA39" s="447"/>
      <c r="AB39" s="447"/>
      <c r="AC39" s="447"/>
      <c r="AD39" s="447"/>
      <c r="AE39" s="447"/>
      <c r="AF39" s="447"/>
      <c r="AG39" s="447"/>
      <c r="AH39" s="447"/>
      <c r="AI39" s="447"/>
      <c r="AJ39" s="447"/>
      <c r="AK39" s="447"/>
    </row>
    <row r="40" spans="1:37" x14ac:dyDescent="0.3">
      <c r="A40" s="449"/>
      <c r="B40" s="449"/>
      <c r="C40" s="449"/>
      <c r="D40" s="449"/>
      <c r="E40" s="449"/>
      <c r="F40" s="449"/>
      <c r="G40" s="449"/>
      <c r="H40" s="449"/>
      <c r="I40" s="449"/>
      <c r="J40" s="449"/>
      <c r="K40" s="449"/>
      <c r="L40" s="449"/>
      <c r="U40" s="447"/>
      <c r="V40" s="447"/>
      <c r="W40" s="447"/>
      <c r="X40" s="447"/>
      <c r="Y40" s="447"/>
      <c r="Z40" s="447"/>
      <c r="AA40" s="447"/>
      <c r="AB40" s="447"/>
      <c r="AC40" s="447"/>
      <c r="AD40" s="447"/>
      <c r="AE40" s="447"/>
      <c r="AF40" s="447"/>
      <c r="AG40" s="447"/>
      <c r="AH40" s="447"/>
      <c r="AI40" s="447"/>
      <c r="AJ40" s="447"/>
      <c r="AK40" s="447"/>
    </row>
    <row r="41" spans="1:37" x14ac:dyDescent="0.3">
      <c r="U41" s="447"/>
      <c r="V41" s="447"/>
      <c r="W41" s="447"/>
      <c r="X41" s="447"/>
      <c r="Y41" s="447"/>
      <c r="Z41" s="447"/>
      <c r="AA41" s="447"/>
      <c r="AB41" s="447"/>
      <c r="AC41" s="447"/>
      <c r="AD41" s="447"/>
      <c r="AE41" s="447"/>
      <c r="AF41" s="447"/>
      <c r="AG41" s="447"/>
      <c r="AH41" s="447"/>
      <c r="AI41" s="447"/>
      <c r="AJ41" s="447"/>
      <c r="AK41" s="447"/>
    </row>
    <row r="42" spans="1:37" x14ac:dyDescent="0.3">
      <c r="U42" s="447"/>
      <c r="V42" s="447"/>
      <c r="W42" s="447"/>
      <c r="X42" s="447"/>
      <c r="Y42" s="447"/>
      <c r="Z42" s="447"/>
      <c r="AA42" s="447"/>
      <c r="AB42" s="447"/>
      <c r="AC42" s="447"/>
      <c r="AD42" s="447"/>
      <c r="AE42" s="447"/>
      <c r="AF42" s="447"/>
      <c r="AG42" s="447"/>
      <c r="AH42" s="447"/>
      <c r="AI42" s="447"/>
      <c r="AJ42" s="447"/>
      <c r="AK42" s="447"/>
    </row>
    <row r="43" spans="1:37" x14ac:dyDescent="0.3">
      <c r="U43" s="447"/>
      <c r="V43" s="447"/>
      <c r="W43" s="447"/>
      <c r="X43" s="447"/>
      <c r="Y43" s="447"/>
      <c r="Z43" s="447"/>
      <c r="AA43" s="447"/>
      <c r="AB43" s="447"/>
      <c r="AC43" s="447"/>
      <c r="AD43" s="447"/>
      <c r="AE43" s="447"/>
      <c r="AF43" s="447"/>
      <c r="AG43" s="447"/>
      <c r="AH43" s="447"/>
      <c r="AI43" s="447"/>
      <c r="AJ43" s="447"/>
      <c r="AK43" s="447"/>
    </row>
    <row r="44" spans="1:37" x14ac:dyDescent="0.3">
      <c r="U44" s="447"/>
      <c r="V44" s="447"/>
      <c r="W44" s="447"/>
      <c r="X44" s="447"/>
      <c r="Y44" s="447"/>
      <c r="Z44" s="447"/>
      <c r="AA44" s="447"/>
      <c r="AB44" s="447"/>
      <c r="AC44" s="447"/>
      <c r="AD44" s="447"/>
      <c r="AE44" s="447"/>
      <c r="AF44" s="447"/>
      <c r="AG44" s="447"/>
      <c r="AH44" s="447"/>
      <c r="AI44" s="447"/>
      <c r="AJ44" s="447"/>
      <c r="AK44" s="447"/>
    </row>
    <row r="45" spans="1:37" x14ac:dyDescent="0.3">
      <c r="U45" s="447"/>
      <c r="V45" s="447"/>
      <c r="W45" s="447"/>
      <c r="X45" s="447"/>
      <c r="Y45" s="447"/>
      <c r="Z45" s="447"/>
      <c r="AA45" s="447"/>
      <c r="AB45" s="447"/>
      <c r="AC45" s="447"/>
      <c r="AD45" s="447"/>
      <c r="AE45" s="447"/>
      <c r="AF45" s="447"/>
      <c r="AG45" s="447"/>
      <c r="AH45" s="447"/>
      <c r="AI45" s="447"/>
      <c r="AJ45" s="447"/>
      <c r="AK45" s="447"/>
    </row>
    <row r="46" spans="1:37" x14ac:dyDescent="0.3">
      <c r="U46" s="447"/>
      <c r="V46" s="447"/>
      <c r="W46" s="447"/>
      <c r="X46" s="447"/>
      <c r="Y46" s="447"/>
      <c r="Z46" s="447"/>
      <c r="AA46" s="447"/>
      <c r="AB46" s="447"/>
      <c r="AC46" s="447"/>
      <c r="AD46" s="447"/>
      <c r="AE46" s="447"/>
      <c r="AF46" s="447"/>
      <c r="AG46" s="447"/>
      <c r="AH46" s="447"/>
      <c r="AI46" s="447"/>
      <c r="AJ46" s="447"/>
      <c r="AK46" s="447"/>
    </row>
    <row r="47" spans="1:37" x14ac:dyDescent="0.3">
      <c r="U47" s="447"/>
      <c r="V47" s="447"/>
      <c r="W47" s="447"/>
      <c r="X47" s="447"/>
      <c r="Y47" s="447"/>
      <c r="Z47" s="447"/>
      <c r="AA47" s="447"/>
      <c r="AB47" s="447"/>
      <c r="AC47" s="447"/>
      <c r="AD47" s="447"/>
      <c r="AE47" s="447"/>
      <c r="AF47" s="447"/>
      <c r="AG47" s="447"/>
      <c r="AH47" s="447"/>
      <c r="AI47" s="447"/>
      <c r="AJ47" s="447"/>
      <c r="AK47" s="447"/>
    </row>
  </sheetData>
  <dataValidations count="12">
    <dataValidation type="list" allowBlank="1" showInputMessage="1" showErrorMessage="1" sqref="I23:I30 I5:I12 I14:I21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showErrorMessage="1" errorTitle="Next MIP Address" error="Empty field not allowed" sqref="B5 B14:B21 B23:B29">
      <formula1>"Next,Decode,Fetch"</formula1>
    </dataValidation>
    <dataValidation type="list" showInputMessage="1" showErrorMessage="1" sqref="K5:K12 K14:K21 K23:K30">
      <formula1>"R,W"</formula1>
    </dataValidation>
    <dataValidation type="list" showInputMessage="1" showErrorMessage="1" sqref="L5:L12 L14:L21 L23:L30">
      <formula1>"IO,MEM"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G5:G12 G14:G21 G23:G30">
      <formula1>"S,O,Z,NS,NO,NZ"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B6:B12 B30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8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773</v>
      </c>
      <c r="B1" s="95"/>
      <c r="C1" s="96"/>
      <c r="D1" s="95"/>
      <c r="E1" s="97" t="s">
        <v>29</v>
      </c>
      <c r="F1" s="96"/>
      <c r="G1" s="96" t="str">
        <f>'Decoder Table'!A29</f>
        <v>0xBC</v>
      </c>
      <c r="H1" s="96"/>
      <c r="I1" s="97" t="s">
        <v>471</v>
      </c>
      <c r="J1" s="96"/>
      <c r="K1" s="96"/>
      <c r="L1" s="96" t="str">
        <f>CONCATENATE("0x",'Decoder Table'!B29)</f>
        <v>0x200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200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201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202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203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488</v>
      </c>
      <c r="J8" s="66" t="s">
        <v>309</v>
      </c>
      <c r="K8" s="72" t="s">
        <v>463</v>
      </c>
      <c r="L8" s="73" t="s">
        <v>464</v>
      </c>
      <c r="M8" s="70" t="s">
        <v>517</v>
      </c>
      <c r="N8" s="74" t="s">
        <v>518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204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297</v>
      </c>
      <c r="I9" s="65" t="s">
        <v>315</v>
      </c>
      <c r="J9" s="66" t="s">
        <v>476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205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476</v>
      </c>
      <c r="I10" s="65" t="s">
        <v>618</v>
      </c>
      <c r="J10" s="66" t="s">
        <v>316</v>
      </c>
      <c r="K10" s="72" t="s">
        <v>463</v>
      </c>
      <c r="L10" s="73" t="s">
        <v>464</v>
      </c>
      <c r="M10" s="70" t="s">
        <v>492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206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476</v>
      </c>
      <c r="J11" s="66" t="s">
        <v>476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207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208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209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20A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496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20B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476</v>
      </c>
      <c r="I17" s="65" t="s">
        <v>488</v>
      </c>
      <c r="J17" s="66" t="s">
        <v>309</v>
      </c>
      <c r="K17" s="72" t="s">
        <v>463</v>
      </c>
      <c r="L17" s="73" t="s">
        <v>464</v>
      </c>
      <c r="M17" s="70" t="s">
        <v>517</v>
      </c>
      <c r="N17" s="77" t="s">
        <v>518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20C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297</v>
      </c>
      <c r="I18" s="65" t="s">
        <v>315</v>
      </c>
      <c r="J18" s="66" t="s">
        <v>476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20D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618</v>
      </c>
      <c r="J19" s="66" t="s">
        <v>316</v>
      </c>
      <c r="K19" s="72" t="s">
        <v>463</v>
      </c>
      <c r="L19" s="73" t="s">
        <v>464</v>
      </c>
      <c r="M19" s="70" t="s">
        <v>492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20E</v>
      </c>
      <c r="B20" s="68" t="s">
        <v>462</v>
      </c>
      <c r="C20" s="66" t="s">
        <v>476</v>
      </c>
      <c r="D20" s="66" t="s">
        <v>476</v>
      </c>
      <c r="E20" s="65" t="s">
        <v>476</v>
      </c>
      <c r="F20" s="66" t="s">
        <v>476</v>
      </c>
      <c r="G20" s="72"/>
      <c r="H20" s="66" t="s">
        <v>476</v>
      </c>
      <c r="I20" s="65" t="s">
        <v>476</v>
      </c>
      <c r="J20" s="66" t="s">
        <v>476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20F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476</v>
      </c>
      <c r="I21" s="65" t="s">
        <v>476</v>
      </c>
      <c r="J21" s="66" t="s">
        <v>476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210</v>
      </c>
      <c r="B23" s="68" t="s">
        <v>462</v>
      </c>
      <c r="C23" s="65" t="s">
        <v>476</v>
      </c>
      <c r="D23" s="65" t="s">
        <v>476</v>
      </c>
      <c r="E23" s="65" t="s">
        <v>476</v>
      </c>
      <c r="F23" s="65" t="s">
        <v>476</v>
      </c>
      <c r="G23" s="68"/>
      <c r="H23" s="66" t="s">
        <v>476</v>
      </c>
      <c r="I23" s="65" t="s">
        <v>488</v>
      </c>
      <c r="J23" s="65" t="s">
        <v>311</v>
      </c>
      <c r="K23" s="68" t="s">
        <v>463</v>
      </c>
      <c r="L23" s="69" t="s">
        <v>464</v>
      </c>
      <c r="M23" s="70" t="s">
        <v>530</v>
      </c>
      <c r="N23" s="76" t="s">
        <v>531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211</v>
      </c>
      <c r="B24" s="68" t="s">
        <v>462</v>
      </c>
      <c r="C24" s="66" t="s">
        <v>476</v>
      </c>
      <c r="D24" s="66" t="s">
        <v>476</v>
      </c>
      <c r="E24" s="65" t="s">
        <v>476</v>
      </c>
      <c r="F24" s="66" t="s">
        <v>476</v>
      </c>
      <c r="G24" s="72"/>
      <c r="H24" s="66" t="s">
        <v>476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521</v>
      </c>
      <c r="N24" s="77" t="s">
        <v>532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212</v>
      </c>
      <c r="B25" s="68" t="s">
        <v>462</v>
      </c>
      <c r="C25" s="66" t="s">
        <v>476</v>
      </c>
      <c r="D25" s="66" t="s">
        <v>476</v>
      </c>
      <c r="E25" s="65" t="s">
        <v>476</v>
      </c>
      <c r="F25" s="66" t="s">
        <v>479</v>
      </c>
      <c r="G25" s="72"/>
      <c r="H25" s="66" t="s">
        <v>299</v>
      </c>
      <c r="I25" s="65" t="s">
        <v>315</v>
      </c>
      <c r="J25" s="66" t="s">
        <v>476</v>
      </c>
      <c r="K25" s="72" t="s">
        <v>463</v>
      </c>
      <c r="L25" s="73" t="s">
        <v>464</v>
      </c>
      <c r="M25" s="70" t="s">
        <v>131</v>
      </c>
      <c r="N25" s="77" t="s">
        <v>130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213</v>
      </c>
      <c r="B26" s="68" t="s">
        <v>462</v>
      </c>
      <c r="C26" s="66" t="s">
        <v>476</v>
      </c>
      <c r="D26" s="66" t="s">
        <v>476</v>
      </c>
      <c r="E26" s="65" t="s">
        <v>476</v>
      </c>
      <c r="F26" s="66" t="s">
        <v>476</v>
      </c>
      <c r="G26" s="72"/>
      <c r="H26" s="66" t="s">
        <v>476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495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214</v>
      </c>
      <c r="B27" s="68" t="s">
        <v>462</v>
      </c>
      <c r="C27" s="66" t="s">
        <v>476</v>
      </c>
      <c r="D27" s="66" t="s">
        <v>476</v>
      </c>
      <c r="E27" s="65" t="s">
        <v>476</v>
      </c>
      <c r="F27" s="66" t="s">
        <v>476</v>
      </c>
      <c r="G27" s="72"/>
      <c r="H27" s="66" t="s">
        <v>476</v>
      </c>
      <c r="I27" s="65" t="s">
        <v>476</v>
      </c>
      <c r="J27" s="66" t="s">
        <v>476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215</v>
      </c>
      <c r="B28" s="68" t="s">
        <v>462</v>
      </c>
      <c r="C28" s="66" t="s">
        <v>476</v>
      </c>
      <c r="D28" s="66" t="s">
        <v>476</v>
      </c>
      <c r="E28" s="65" t="s">
        <v>476</v>
      </c>
      <c r="F28" s="66" t="s">
        <v>476</v>
      </c>
      <c r="G28" s="72"/>
      <c r="H28" s="66" t="s">
        <v>476</v>
      </c>
      <c r="I28" s="65" t="s">
        <v>476</v>
      </c>
      <c r="J28" s="66" t="s">
        <v>476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216</v>
      </c>
      <c r="B29" s="68" t="s">
        <v>462</v>
      </c>
      <c r="C29" s="66" t="s">
        <v>476</v>
      </c>
      <c r="D29" s="66" t="s">
        <v>476</v>
      </c>
      <c r="E29" s="65" t="s">
        <v>476</v>
      </c>
      <c r="F29" s="66" t="s">
        <v>476</v>
      </c>
      <c r="G29" s="72"/>
      <c r="H29" s="66" t="s">
        <v>476</v>
      </c>
      <c r="I29" s="65" t="s">
        <v>476</v>
      </c>
      <c r="J29" s="66" t="s">
        <v>476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217</v>
      </c>
      <c r="B30" s="79" t="s">
        <v>35</v>
      </c>
      <c r="C30" s="67" t="s">
        <v>476</v>
      </c>
      <c r="D30" s="67" t="s">
        <v>476</v>
      </c>
      <c r="E30" s="67" t="s">
        <v>476</v>
      </c>
      <c r="F30" s="67" t="s">
        <v>476</v>
      </c>
      <c r="G30" s="79"/>
      <c r="H30" s="67" t="s">
        <v>476</v>
      </c>
      <c r="I30" s="67" t="s">
        <v>476</v>
      </c>
      <c r="J30" s="67" t="s">
        <v>476</v>
      </c>
      <c r="K30" s="79" t="s">
        <v>463</v>
      </c>
      <c r="L30" s="80" t="s">
        <v>464</v>
      </c>
      <c r="M30" s="100" t="s">
        <v>493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774</v>
      </c>
      <c r="B1" s="95"/>
      <c r="C1" s="96"/>
      <c r="D1" s="95"/>
      <c r="E1" s="97" t="s">
        <v>29</v>
      </c>
      <c r="F1" s="96"/>
      <c r="G1" s="96" t="str">
        <f>'Decoder Table'!A20</f>
        <v>0xAC</v>
      </c>
      <c r="H1" s="96"/>
      <c r="I1" s="97" t="s">
        <v>471</v>
      </c>
      <c r="J1" s="96"/>
      <c r="K1" s="96"/>
      <c r="L1" s="96" t="str">
        <f>CONCATENATE("0x",'Decoder Table'!B20)</f>
        <v>0x130</v>
      </c>
      <c r="M1" s="96"/>
      <c r="N1" s="98" t="s">
        <v>799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130</v>
      </c>
      <c r="B5" s="68" t="s">
        <v>462</v>
      </c>
      <c r="C5" s="65" t="s">
        <v>476</v>
      </c>
      <c r="D5" s="65" t="s">
        <v>476</v>
      </c>
      <c r="E5" s="65" t="s">
        <v>476</v>
      </c>
      <c r="F5" s="65" t="s">
        <v>476</v>
      </c>
      <c r="G5" s="68"/>
      <c r="H5" s="66" t="s">
        <v>476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490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131</v>
      </c>
      <c r="B6" s="72" t="s">
        <v>462</v>
      </c>
      <c r="C6" s="66" t="s">
        <v>476</v>
      </c>
      <c r="D6" s="66" t="s">
        <v>476</v>
      </c>
      <c r="E6" s="65" t="s">
        <v>476</v>
      </c>
      <c r="F6" s="66" t="s">
        <v>476</v>
      </c>
      <c r="G6" s="72"/>
      <c r="H6" s="66" t="s">
        <v>476</v>
      </c>
      <c r="I6" s="65" t="s">
        <v>313</v>
      </c>
      <c r="J6" s="66" t="s">
        <v>487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132</v>
      </c>
      <c r="B7" s="72" t="s">
        <v>462</v>
      </c>
      <c r="C7" s="66" t="s">
        <v>476</v>
      </c>
      <c r="D7" s="66" t="s">
        <v>476</v>
      </c>
      <c r="E7" s="65" t="s">
        <v>476</v>
      </c>
      <c r="F7" s="66" t="s">
        <v>476</v>
      </c>
      <c r="G7" s="72"/>
      <c r="H7" s="66" t="s">
        <v>476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494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133</v>
      </c>
      <c r="B8" s="72" t="s">
        <v>462</v>
      </c>
      <c r="C8" s="66" t="s">
        <v>476</v>
      </c>
      <c r="D8" s="66" t="s">
        <v>476</v>
      </c>
      <c r="E8" s="65" t="s">
        <v>476</v>
      </c>
      <c r="F8" s="66" t="s">
        <v>476</v>
      </c>
      <c r="G8" s="72"/>
      <c r="H8" s="66" t="s">
        <v>476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496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134</v>
      </c>
      <c r="B9" s="72" t="s">
        <v>462</v>
      </c>
      <c r="C9" s="66" t="s">
        <v>476</v>
      </c>
      <c r="D9" s="66" t="s">
        <v>476</v>
      </c>
      <c r="E9" s="65" t="s">
        <v>476</v>
      </c>
      <c r="F9" s="66" t="s">
        <v>476</v>
      </c>
      <c r="G9" s="72"/>
      <c r="H9" s="66" t="s">
        <v>476</v>
      </c>
      <c r="I9" s="65" t="s">
        <v>488</v>
      </c>
      <c r="J9" s="66" t="s">
        <v>309</v>
      </c>
      <c r="K9" s="72" t="s">
        <v>463</v>
      </c>
      <c r="L9" s="73" t="s">
        <v>464</v>
      </c>
      <c r="M9" s="70" t="s">
        <v>517</v>
      </c>
      <c r="N9" s="74" t="s">
        <v>518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135</v>
      </c>
      <c r="B10" s="72" t="s">
        <v>462</v>
      </c>
      <c r="C10" s="66" t="s">
        <v>476</v>
      </c>
      <c r="D10" s="66" t="s">
        <v>476</v>
      </c>
      <c r="E10" s="65" t="s">
        <v>476</v>
      </c>
      <c r="F10" s="66" t="s">
        <v>476</v>
      </c>
      <c r="G10" s="72"/>
      <c r="H10" s="66" t="s">
        <v>297</v>
      </c>
      <c r="I10" s="65" t="s">
        <v>315</v>
      </c>
      <c r="J10" s="66" t="s">
        <v>476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136</v>
      </c>
      <c r="B11" s="72" t="s">
        <v>462</v>
      </c>
      <c r="C11" s="66" t="s">
        <v>476</v>
      </c>
      <c r="D11" s="66" t="s">
        <v>476</v>
      </c>
      <c r="E11" s="65" t="s">
        <v>476</v>
      </c>
      <c r="F11" s="66" t="s">
        <v>476</v>
      </c>
      <c r="G11" s="72"/>
      <c r="H11" s="66" t="s">
        <v>476</v>
      </c>
      <c r="I11" s="65" t="s">
        <v>618</v>
      </c>
      <c r="J11" s="66" t="s">
        <v>316</v>
      </c>
      <c r="K11" s="72" t="s">
        <v>463</v>
      </c>
      <c r="L11" s="73" t="s">
        <v>464</v>
      </c>
      <c r="M11" s="70" t="s">
        <v>492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137</v>
      </c>
      <c r="B12" s="72" t="s">
        <v>462</v>
      </c>
      <c r="C12" s="66" t="s">
        <v>476</v>
      </c>
      <c r="D12" s="66" t="s">
        <v>476</v>
      </c>
      <c r="E12" s="65" t="s">
        <v>476</v>
      </c>
      <c r="F12" s="66" t="s">
        <v>476</v>
      </c>
      <c r="G12" s="72"/>
      <c r="H12" s="66" t="s">
        <v>476</v>
      </c>
      <c r="I12" s="65" t="s">
        <v>476</v>
      </c>
      <c r="J12" s="66" t="s">
        <v>476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476</v>
      </c>
      <c r="D13" s="84"/>
      <c r="E13" s="84" t="s">
        <v>476</v>
      </c>
      <c r="F13" s="84" t="s">
        <v>476</v>
      </c>
      <c r="G13" s="83"/>
      <c r="H13" s="84" t="s">
        <v>476</v>
      </c>
      <c r="I13" s="84" t="s">
        <v>476</v>
      </c>
      <c r="J13" s="84" t="s">
        <v>476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138</v>
      </c>
      <c r="B14" s="68" t="s">
        <v>462</v>
      </c>
      <c r="C14" s="65" t="s">
        <v>476</v>
      </c>
      <c r="D14" s="65" t="s">
        <v>476</v>
      </c>
      <c r="E14" s="65" t="s">
        <v>476</v>
      </c>
      <c r="F14" s="65" t="s">
        <v>476</v>
      </c>
      <c r="G14" s="68"/>
      <c r="H14" s="66" t="s">
        <v>476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490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139</v>
      </c>
      <c r="B15" s="68" t="s">
        <v>462</v>
      </c>
      <c r="C15" s="66" t="s">
        <v>476</v>
      </c>
      <c r="D15" s="66" t="s">
        <v>476</v>
      </c>
      <c r="E15" s="65" t="s">
        <v>476</v>
      </c>
      <c r="F15" s="66" t="s">
        <v>476</v>
      </c>
      <c r="G15" s="72"/>
      <c r="H15" s="66" t="s">
        <v>476</v>
      </c>
      <c r="I15" s="65" t="s">
        <v>313</v>
      </c>
      <c r="J15" s="66" t="s">
        <v>487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13A</v>
      </c>
      <c r="B16" s="68" t="s">
        <v>462</v>
      </c>
      <c r="C16" s="66" t="s">
        <v>476</v>
      </c>
      <c r="D16" s="66" t="s">
        <v>476</v>
      </c>
      <c r="E16" s="65" t="s">
        <v>476</v>
      </c>
      <c r="F16" s="66" t="s">
        <v>476</v>
      </c>
      <c r="G16" s="72"/>
      <c r="H16" s="66" t="s">
        <v>476</v>
      </c>
      <c r="I16" s="65" t="s">
        <v>488</v>
      </c>
      <c r="J16" s="66" t="s">
        <v>309</v>
      </c>
      <c r="K16" s="72" t="s">
        <v>463</v>
      </c>
      <c r="L16" s="73" t="s">
        <v>464</v>
      </c>
      <c r="M16" s="70" t="s">
        <v>517</v>
      </c>
      <c r="N16" s="77" t="s">
        <v>518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13B</v>
      </c>
      <c r="B17" s="68" t="s">
        <v>462</v>
      </c>
      <c r="C17" s="66" t="s">
        <v>476</v>
      </c>
      <c r="D17" s="66" t="s">
        <v>476</v>
      </c>
      <c r="E17" s="65" t="s">
        <v>476</v>
      </c>
      <c r="F17" s="66" t="s">
        <v>476</v>
      </c>
      <c r="G17" s="72"/>
      <c r="H17" s="66" t="s">
        <v>297</v>
      </c>
      <c r="I17" s="65" t="s">
        <v>315</v>
      </c>
      <c r="J17" s="66" t="s">
        <v>476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13C</v>
      </c>
      <c r="B18" s="68" t="s">
        <v>462</v>
      </c>
      <c r="C18" s="66" t="s">
        <v>476</v>
      </c>
      <c r="D18" s="66" t="s">
        <v>476</v>
      </c>
      <c r="E18" s="65" t="s">
        <v>476</v>
      </c>
      <c r="F18" s="66" t="s">
        <v>476</v>
      </c>
      <c r="G18" s="72"/>
      <c r="H18" s="66" t="s">
        <v>476</v>
      </c>
      <c r="I18" s="65" t="s">
        <v>618</v>
      </c>
      <c r="J18" s="66" t="s">
        <v>316</v>
      </c>
      <c r="K18" s="72" t="s">
        <v>463</v>
      </c>
      <c r="L18" s="73" t="s">
        <v>464</v>
      </c>
      <c r="M18" s="70" t="s">
        <v>492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13D</v>
      </c>
      <c r="B19" s="68" t="s">
        <v>462</v>
      </c>
      <c r="C19" s="66" t="s">
        <v>476</v>
      </c>
      <c r="D19" s="66" t="s">
        <v>476</v>
      </c>
      <c r="E19" s="65" t="s">
        <v>476</v>
      </c>
      <c r="F19" s="66" t="s">
        <v>476</v>
      </c>
      <c r="G19" s="72"/>
      <c r="H19" s="66" t="s">
        <v>476</v>
      </c>
      <c r="I19" s="65" t="s">
        <v>489</v>
      </c>
      <c r="J19" s="66" t="s">
        <v>308</v>
      </c>
      <c r="K19" s="72" t="s">
        <v>463</v>
      </c>
      <c r="L19" s="73" t="s">
        <v>464</v>
      </c>
      <c r="M19" s="70" t="s">
        <v>521</v>
      </c>
      <c r="N19" s="77" t="s">
        <v>522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13E</v>
      </c>
      <c r="B20" s="68" t="s">
        <v>462</v>
      </c>
      <c r="C20" s="66" t="s">
        <v>476</v>
      </c>
      <c r="D20" s="66" t="s">
        <v>548</v>
      </c>
      <c r="E20" s="65" t="s">
        <v>141</v>
      </c>
      <c r="F20" s="66" t="s">
        <v>476</v>
      </c>
      <c r="G20" s="72"/>
      <c r="H20" s="66" t="s">
        <v>476</v>
      </c>
      <c r="I20" s="65" t="s">
        <v>488</v>
      </c>
      <c r="J20" s="66" t="s">
        <v>476</v>
      </c>
      <c r="K20" s="72" t="s">
        <v>463</v>
      </c>
      <c r="L20" s="73" t="s">
        <v>464</v>
      </c>
      <c r="M20" s="70" t="s">
        <v>523</v>
      </c>
      <c r="N20" s="77" t="s">
        <v>524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13F</v>
      </c>
      <c r="B21" s="68" t="s">
        <v>462</v>
      </c>
      <c r="C21" s="66" t="s">
        <v>476</v>
      </c>
      <c r="D21" s="66" t="s">
        <v>476</v>
      </c>
      <c r="E21" s="65" t="s">
        <v>476</v>
      </c>
      <c r="F21" s="66" t="s">
        <v>476</v>
      </c>
      <c r="G21" s="72"/>
      <c r="H21" s="66" t="s">
        <v>301</v>
      </c>
      <c r="I21" s="65" t="s">
        <v>315</v>
      </c>
      <c r="J21" s="66" t="s">
        <v>476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476</v>
      </c>
      <c r="D22" s="84"/>
      <c r="E22" s="84" t="s">
        <v>476</v>
      </c>
      <c r="F22" s="84" t="s">
        <v>476</v>
      </c>
      <c r="G22" s="83"/>
      <c r="H22" s="84" t="s">
        <v>476</v>
      </c>
      <c r="I22" s="84" t="s">
        <v>476</v>
      </c>
      <c r="J22" s="84" t="s">
        <v>476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140</v>
      </c>
      <c r="B23" s="383" t="s">
        <v>462</v>
      </c>
      <c r="C23" s="380" t="s">
        <v>476</v>
      </c>
      <c r="D23" s="380" t="s">
        <v>476</v>
      </c>
      <c r="E23" s="380" t="s">
        <v>476</v>
      </c>
      <c r="F23" s="380" t="s">
        <v>476</v>
      </c>
      <c r="G23" s="383"/>
      <c r="H23" s="381" t="s">
        <v>476</v>
      </c>
      <c r="I23" s="380" t="s">
        <v>306</v>
      </c>
      <c r="J23" s="380" t="s">
        <v>314</v>
      </c>
      <c r="K23" s="383" t="s">
        <v>463</v>
      </c>
      <c r="L23" s="384" t="s">
        <v>464</v>
      </c>
      <c r="M23" s="385" t="s">
        <v>494</v>
      </c>
      <c r="N23" s="388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141</v>
      </c>
      <c r="B24" s="383" t="s">
        <v>462</v>
      </c>
      <c r="C24" s="381" t="s">
        <v>476</v>
      </c>
      <c r="D24" s="381" t="s">
        <v>476</v>
      </c>
      <c r="E24" s="380" t="s">
        <v>476</v>
      </c>
      <c r="F24" s="381" t="s">
        <v>476</v>
      </c>
      <c r="G24" s="386"/>
      <c r="H24" s="381" t="s">
        <v>476</v>
      </c>
      <c r="I24" s="380" t="s">
        <v>488</v>
      </c>
      <c r="J24" s="381" t="s">
        <v>308</v>
      </c>
      <c r="K24" s="386" t="s">
        <v>463</v>
      </c>
      <c r="L24" s="387" t="s">
        <v>464</v>
      </c>
      <c r="M24" s="385" t="s">
        <v>519</v>
      </c>
      <c r="N24" s="389" t="s">
        <v>525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142</v>
      </c>
      <c r="B25" s="383" t="s">
        <v>462</v>
      </c>
      <c r="C25" s="381" t="s">
        <v>476</v>
      </c>
      <c r="D25" s="381" t="s">
        <v>476</v>
      </c>
      <c r="E25" s="380" t="s">
        <v>476</v>
      </c>
      <c r="F25" s="381" t="s">
        <v>476</v>
      </c>
      <c r="G25" s="386"/>
      <c r="H25" s="381" t="s">
        <v>476</v>
      </c>
      <c r="I25" s="380" t="s">
        <v>489</v>
      </c>
      <c r="J25" s="381" t="s">
        <v>316</v>
      </c>
      <c r="K25" s="386" t="s">
        <v>463</v>
      </c>
      <c r="L25" s="387" t="s">
        <v>464</v>
      </c>
      <c r="M25" s="385" t="s">
        <v>526</v>
      </c>
      <c r="N25" s="389" t="s">
        <v>522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143</v>
      </c>
      <c r="B26" s="383" t="s">
        <v>462</v>
      </c>
      <c r="C26" s="381" t="s">
        <v>476</v>
      </c>
      <c r="D26" s="381" t="s">
        <v>476</v>
      </c>
      <c r="E26" s="380" t="s">
        <v>476</v>
      </c>
      <c r="F26" s="381" t="s">
        <v>479</v>
      </c>
      <c r="G26" s="386"/>
      <c r="H26" s="381" t="s">
        <v>299</v>
      </c>
      <c r="I26" s="380" t="s">
        <v>315</v>
      </c>
      <c r="J26" s="381" t="s">
        <v>476</v>
      </c>
      <c r="K26" s="386" t="s">
        <v>463</v>
      </c>
      <c r="L26" s="387" t="s">
        <v>464</v>
      </c>
      <c r="M26" s="385" t="s">
        <v>153</v>
      </c>
      <c r="N26" s="389" t="s">
        <v>152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144</v>
      </c>
      <c r="B27" s="383" t="s">
        <v>462</v>
      </c>
      <c r="C27" s="381" t="s">
        <v>476</v>
      </c>
      <c r="D27" s="381" t="s">
        <v>476</v>
      </c>
      <c r="E27" s="380" t="s">
        <v>476</v>
      </c>
      <c r="F27" s="381" t="s">
        <v>476</v>
      </c>
      <c r="G27" s="386"/>
      <c r="H27" s="381" t="s">
        <v>476</v>
      </c>
      <c r="I27" s="380" t="s">
        <v>306</v>
      </c>
      <c r="J27" s="381" t="s">
        <v>311</v>
      </c>
      <c r="K27" s="386" t="s">
        <v>463</v>
      </c>
      <c r="L27" s="387" t="s">
        <v>464</v>
      </c>
      <c r="M27" s="385" t="s">
        <v>497</v>
      </c>
      <c r="N27" s="389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145</v>
      </c>
      <c r="B28" s="383" t="s">
        <v>462</v>
      </c>
      <c r="C28" s="381" t="s">
        <v>476</v>
      </c>
      <c r="D28" s="381" t="s">
        <v>476</v>
      </c>
      <c r="E28" s="380" t="s">
        <v>476</v>
      </c>
      <c r="F28" s="381" t="s">
        <v>476</v>
      </c>
      <c r="G28" s="386"/>
      <c r="H28" s="381" t="s">
        <v>476</v>
      </c>
      <c r="I28" s="380" t="s">
        <v>307</v>
      </c>
      <c r="J28" s="381" t="s">
        <v>316</v>
      </c>
      <c r="K28" s="386" t="s">
        <v>463</v>
      </c>
      <c r="L28" s="387" t="s">
        <v>464</v>
      </c>
      <c r="M28" s="385" t="s">
        <v>495</v>
      </c>
      <c r="N28" s="389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146</v>
      </c>
      <c r="B29" s="383" t="s">
        <v>462</v>
      </c>
      <c r="C29" s="381" t="s">
        <v>476</v>
      </c>
      <c r="D29" s="381" t="s">
        <v>476</v>
      </c>
      <c r="E29" s="380" t="s">
        <v>476</v>
      </c>
      <c r="F29" s="381" t="s">
        <v>476</v>
      </c>
      <c r="G29" s="386"/>
      <c r="H29" s="381" t="s">
        <v>476</v>
      </c>
      <c r="I29" s="380" t="s">
        <v>476</v>
      </c>
      <c r="J29" s="381" t="s">
        <v>476</v>
      </c>
      <c r="K29" s="386" t="s">
        <v>463</v>
      </c>
      <c r="L29" s="387" t="s">
        <v>464</v>
      </c>
      <c r="M29" s="385" t="s">
        <v>7</v>
      </c>
      <c r="N29" s="389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147</v>
      </c>
      <c r="B30" s="390" t="s">
        <v>35</v>
      </c>
      <c r="C30" s="382" t="s">
        <v>476</v>
      </c>
      <c r="D30" s="382" t="s">
        <v>476</v>
      </c>
      <c r="E30" s="382" t="s">
        <v>476</v>
      </c>
      <c r="F30" s="382" t="s">
        <v>476</v>
      </c>
      <c r="G30" s="390"/>
      <c r="H30" s="382" t="s">
        <v>476</v>
      </c>
      <c r="I30" s="382" t="s">
        <v>476</v>
      </c>
      <c r="J30" s="382" t="s">
        <v>476</v>
      </c>
      <c r="K30" s="390" t="s">
        <v>463</v>
      </c>
      <c r="L30" s="391" t="s">
        <v>464</v>
      </c>
      <c r="M30" s="393" t="s">
        <v>493</v>
      </c>
      <c r="N30" s="392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69</vt:i4>
      </vt:variant>
      <vt:variant>
        <vt:lpstr>Benannte Bereiche</vt:lpstr>
      </vt:variant>
      <vt:variant>
        <vt:i4>64</vt:i4>
      </vt:variant>
    </vt:vector>
  </HeadingPairs>
  <TitlesOfParts>
    <vt:vector size="133" baseType="lpstr">
      <vt:lpstr>Readme</vt:lpstr>
      <vt:lpstr>Architecture</vt:lpstr>
      <vt:lpstr>Decoder Table</vt:lpstr>
      <vt:lpstr>Template</vt:lpstr>
      <vt:lpstr>Template op1</vt:lpstr>
      <vt:lpstr>Template op1,op2</vt:lpstr>
      <vt:lpstr>Fetch</vt:lpstr>
      <vt:lpstr>Interrupt</vt:lpstr>
      <vt:lpstr>ADD reg,const</vt:lpstr>
      <vt:lpstr>ADD reg1,reg2</vt:lpstr>
      <vt:lpstr>AND reg,const</vt:lpstr>
      <vt:lpstr>AND reg1,reg2</vt:lpstr>
      <vt:lpstr>CALL addr</vt:lpstr>
      <vt:lpstr>CLI</vt:lpstr>
      <vt:lpstr>CLINC |reg|</vt:lpstr>
      <vt:lpstr>CMP reg,const</vt:lpstr>
      <vt:lpstr>CMP reg1,reg2</vt:lpstr>
      <vt:lpstr>CMP reg,|addr|</vt:lpstr>
      <vt:lpstr>CPYD |reg|,const</vt:lpstr>
      <vt:lpstr>DEC reg</vt:lpstr>
      <vt:lpstr>DEC |addr|</vt:lpstr>
      <vt:lpstr>DIV reg,const</vt:lpstr>
      <vt:lpstr>DIV reg1,reg2</vt:lpstr>
      <vt:lpstr>HALT</vt:lpstr>
      <vt:lpstr>IN addr</vt:lpstr>
      <vt:lpstr>INC reg</vt:lpstr>
      <vt:lpstr>INC |reg|</vt:lpstr>
      <vt:lpstr>INT addr</vt:lpstr>
      <vt:lpstr>IRET</vt:lpstr>
      <vt:lpstr>JMP offset</vt:lpstr>
      <vt:lpstr>JPA absolute</vt:lpstr>
      <vt:lpstr>JNO offset</vt:lpstr>
      <vt:lpstr>JNS offset</vt:lpstr>
      <vt:lpstr>JNZ offset</vt:lpstr>
      <vt:lpstr>JO offset</vt:lpstr>
      <vt:lpstr>JS offset</vt:lpstr>
      <vt:lpstr>JZ offset</vt:lpstr>
      <vt:lpstr>MOD reg,const</vt:lpstr>
      <vt:lpstr>MOD reg1,reg2</vt:lpstr>
      <vt:lpstr>MOV reg,const</vt:lpstr>
      <vt:lpstr>MOV reg1,reg2</vt:lpstr>
      <vt:lpstr>MOV reg1,|reg2|</vt:lpstr>
      <vt:lpstr>MOV reg,|addr|</vt:lpstr>
      <vt:lpstr>MOV |reg1|,reg2</vt:lpstr>
      <vt:lpstr>MOV |addr|,reg</vt:lpstr>
      <vt:lpstr>MUL reg,const</vt:lpstr>
      <vt:lpstr>MUL reg1,reg2</vt:lpstr>
      <vt:lpstr>NEXT addr</vt:lpstr>
      <vt:lpstr>NOP</vt:lpstr>
      <vt:lpstr>NOT reg</vt:lpstr>
      <vt:lpstr>OR reg,const</vt:lpstr>
      <vt:lpstr>OR reg1,reg2</vt:lpstr>
      <vt:lpstr>OUT addr</vt:lpstr>
      <vt:lpstr>POP reg</vt:lpstr>
      <vt:lpstr>POPF</vt:lpstr>
      <vt:lpstr>PUSH reg</vt:lpstr>
      <vt:lpstr>PUSHF</vt:lpstr>
      <vt:lpstr>RET</vt:lpstr>
      <vt:lpstr>ROL reg</vt:lpstr>
      <vt:lpstr>ROR reg</vt:lpstr>
      <vt:lpstr>SHL reg</vt:lpstr>
      <vt:lpstr>SHR reg</vt:lpstr>
      <vt:lpstr>STI</vt:lpstr>
      <vt:lpstr>SUB reg,const</vt:lpstr>
      <vt:lpstr>SUB reg1,reg2</vt:lpstr>
      <vt:lpstr>SWAP |addr|</vt:lpstr>
      <vt:lpstr>XCHG reg1,reg2</vt:lpstr>
      <vt:lpstr>XOR reg,const</vt:lpstr>
      <vt:lpstr>XOR reg1,reg2</vt:lpstr>
      <vt:lpstr>'ADD reg,const'!Druckbereich</vt:lpstr>
      <vt:lpstr>'ADD reg1,reg2'!Druckbereich</vt:lpstr>
      <vt:lpstr>'AND reg,const'!Druckbereich</vt:lpstr>
      <vt:lpstr>'AND reg1,reg2'!Druckbereich</vt:lpstr>
      <vt:lpstr>Architecture!Druckbereich</vt:lpstr>
      <vt:lpstr>'CALL addr'!Druckbereich</vt:lpstr>
      <vt:lpstr>CLI!Druckbereich</vt:lpstr>
      <vt:lpstr>'CMP reg,|addr|'!Druckbereich</vt:lpstr>
      <vt:lpstr>'CMP reg,const'!Druckbereich</vt:lpstr>
      <vt:lpstr>'CMP reg1,reg2'!Druckbereich</vt:lpstr>
      <vt:lpstr>'CPYD |reg|,const'!Druckbereich</vt:lpstr>
      <vt:lpstr>'DEC reg'!Druckbereich</vt:lpstr>
      <vt:lpstr>'Decoder Table'!Druckbereich</vt:lpstr>
      <vt:lpstr>'DIV reg,const'!Druckbereich</vt:lpstr>
      <vt:lpstr>'DIV reg1,reg2'!Druckbereich</vt:lpstr>
      <vt:lpstr>Fetch!Druckbereich</vt:lpstr>
      <vt:lpstr>HALT!Druckbereich</vt:lpstr>
      <vt:lpstr>'IN addr'!Druckbereich</vt:lpstr>
      <vt:lpstr>'INC |reg|'!Druckbereich</vt:lpstr>
      <vt:lpstr>'INC reg'!Druckbereich</vt:lpstr>
      <vt:lpstr>'INT addr'!Druckbereich</vt:lpstr>
      <vt:lpstr>Interrupt!Druckbereich</vt:lpstr>
      <vt:lpstr>IRET!Druckbereich</vt:lpstr>
      <vt:lpstr>'JMP offset'!Druckbereich</vt:lpstr>
      <vt:lpstr>'JNO offset'!Druckbereich</vt:lpstr>
      <vt:lpstr>'JNS offset'!Druckbereich</vt:lpstr>
      <vt:lpstr>'JNZ offset'!Druckbereich</vt:lpstr>
      <vt:lpstr>'JO offset'!Druckbereich</vt:lpstr>
      <vt:lpstr>'JS offset'!Druckbereich</vt:lpstr>
      <vt:lpstr>'JZ offset'!Druckbereich</vt:lpstr>
      <vt:lpstr>'MOD reg,const'!Druckbereich</vt:lpstr>
      <vt:lpstr>'MOD reg1,reg2'!Druckbereich</vt:lpstr>
      <vt:lpstr>'MOV |addr|,reg'!Druckbereich</vt:lpstr>
      <vt:lpstr>'MOV |reg1|,reg2'!Druckbereich</vt:lpstr>
      <vt:lpstr>'MOV reg,|addr|'!Druckbereich</vt:lpstr>
      <vt:lpstr>'MOV reg,const'!Druckbereich</vt:lpstr>
      <vt:lpstr>'MOV reg1,|reg2|'!Druckbereich</vt:lpstr>
      <vt:lpstr>'MOV reg1,reg2'!Druckbereich</vt:lpstr>
      <vt:lpstr>'MUL reg,const'!Druckbereich</vt:lpstr>
      <vt:lpstr>'MUL reg1,reg2'!Druckbereich</vt:lpstr>
      <vt:lpstr>NOP!Druckbereich</vt:lpstr>
      <vt:lpstr>'NOT reg'!Druckbereich</vt:lpstr>
      <vt:lpstr>'OR reg,const'!Druckbereich</vt:lpstr>
      <vt:lpstr>'OR reg1,reg2'!Druckbereich</vt:lpstr>
      <vt:lpstr>'OUT addr'!Druckbereich</vt:lpstr>
      <vt:lpstr>'POP reg'!Druckbereich</vt:lpstr>
      <vt:lpstr>POPF!Druckbereich</vt:lpstr>
      <vt:lpstr>'PUSH reg'!Druckbereich</vt:lpstr>
      <vt:lpstr>PUSHF!Druckbereich</vt:lpstr>
      <vt:lpstr>Readme!Druckbereich</vt:lpstr>
      <vt:lpstr>RET!Druckbereich</vt:lpstr>
      <vt:lpstr>'ROL reg'!Druckbereich</vt:lpstr>
      <vt:lpstr>'ROR reg'!Druckbereich</vt:lpstr>
      <vt:lpstr>'SHL reg'!Druckbereich</vt:lpstr>
      <vt:lpstr>'SHR reg'!Druckbereich</vt:lpstr>
      <vt:lpstr>STI!Druckbereich</vt:lpstr>
      <vt:lpstr>'SUB reg,const'!Druckbereich</vt:lpstr>
      <vt:lpstr>'SUB reg1,reg2'!Druckbereich</vt:lpstr>
      <vt:lpstr>Template!Druckbereich</vt:lpstr>
      <vt:lpstr>'Template op1'!Druckbereich</vt:lpstr>
      <vt:lpstr>'Template op1,op2'!Druckbereich</vt:lpstr>
      <vt:lpstr>'XCHG reg1,reg2'!Druckbereich</vt:lpstr>
      <vt:lpstr>'XOR reg,const'!Druckbereich</vt:lpstr>
      <vt:lpstr>'XOR reg1,reg2'!Druckbereich</vt:lpstr>
    </vt:vector>
  </TitlesOfParts>
  <Company>Fachhochschule Nordwestschweiz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Müller Ruedi</dc:creator>
  <cp:lastModifiedBy>Müller Ruedi</cp:lastModifiedBy>
  <cp:lastPrinted>2016-12-01T16:25:45Z</cp:lastPrinted>
  <dcterms:created xsi:type="dcterms:W3CDTF">2011-03-29T09:28:21Z</dcterms:created>
  <dcterms:modified xsi:type="dcterms:W3CDTF">2017-08-21T08:43:34Z</dcterms:modified>
</cp:coreProperties>
</file>